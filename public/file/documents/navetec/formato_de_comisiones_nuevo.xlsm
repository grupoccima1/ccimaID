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726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gccima-my.sharepoint.com/personal/cm_comer02_gccima_onmicrosoft_com/Documents/CCIMA/1. Controller/0.- PROCEDIMIENTOS/"/>
    </mc:Choice>
  </mc:AlternateContent>
  <xr:revisionPtr revIDLastSave="210" documentId="14_{602D42BC-CA0D-4BB8-B74E-173B7B85AFFA}" xr6:coauthVersionLast="47" xr6:coauthVersionMax="47" xr10:uidLastSave="{C69DF72F-1A4D-4E0C-8A93-A9F2E4D0321B}"/>
  <bookViews>
    <workbookView xWindow="-120" yWindow="-120" windowWidth="20730" windowHeight="11160" xr2:uid="{00000000-000D-0000-FFFF-FFFF00000000}"/>
  </bookViews>
  <sheets>
    <sheet name="REFERENCIA" sheetId="3" r:id="rId1"/>
  </sheets>
  <definedNames>
    <definedName name="_xlnm.Print_Area" localSheetId="0">REFERENCIA!$B$2:$L$61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20" i="3" l="1"/>
  <c r="B23" i="3" l="1" a="1"/>
  <c r="B23" i="3" s="1"/>
  <c r="B22" i="3" a="1"/>
  <c r="B22" i="3" s="1"/>
  <c r="F23" i="3" l="1" a="1"/>
  <c r="F23" i="3" s="1"/>
  <c r="H23" i="3" a="1"/>
  <c r="H23" i="3" s="1"/>
  <c r="C23" i="3" l="1" a="1"/>
  <c r="C23" i="3" s="1"/>
  <c r="B27" i="3" s="1" a="1"/>
  <c r="B27" i="3" s="1"/>
  <c r="H27" i="3" s="1" a="1"/>
  <c r="H27" i="3" s="1"/>
  <c r="B24" i="3" a="1"/>
  <c r="B24" i="3" s="1"/>
  <c r="H24" i="3" s="1" a="1"/>
  <c r="H24" i="3" s="1"/>
  <c r="B25" i="3" a="1"/>
  <c r="B25" i="3" s="1"/>
  <c r="H25" i="3" s="1" a="1"/>
  <c r="H25" i="3" s="1"/>
  <c r="F20" i="3"/>
  <c r="C22" i="3" l="1" a="1"/>
  <c r="C22" i="3" s="1"/>
  <c r="B26" i="3" s="1" a="1"/>
  <c r="B26" i="3" s="1"/>
  <c r="H26" i="3" s="1" a="1"/>
  <c r="H26" i="3" s="1"/>
  <c r="F22" i="3" a="1"/>
  <c r="F22" i="3" s="1"/>
  <c r="F28" i="3" s="1"/>
  <c r="H22" i="3" a="1"/>
  <c r="H22" i="3" s="1"/>
  <c r="E27" i="3"/>
  <c r="G27" i="3" s="1"/>
  <c r="J27" i="3" s="1"/>
  <c r="E26" i="3"/>
  <c r="G26" i="3" s="1"/>
  <c r="J26" i="3" s="1"/>
  <c r="E25" i="3"/>
  <c r="G25" i="3" s="1"/>
  <c r="J25" i="3" s="1"/>
  <c r="E24" i="3"/>
  <c r="G24" i="3" s="1"/>
  <c r="J24" i="3" s="1"/>
  <c r="E23" i="3"/>
  <c r="G23" i="3" s="1"/>
  <c r="J23" i="3" s="1"/>
  <c r="E22" i="3"/>
  <c r="D21" i="3"/>
  <c r="D22" i="3" s="1"/>
  <c r="D23" i="3" s="1"/>
  <c r="D24" i="3" s="1"/>
  <c r="D25" i="3" s="1"/>
  <c r="D26" i="3" s="1"/>
  <c r="D27" i="3" s="1"/>
  <c r="G22" i="3" l="1"/>
  <c r="J22" i="3" s="1"/>
  <c r="E21" i="3"/>
  <c r="G21" i="3" s="1"/>
  <c r="J21" i="3" s="1"/>
  <c r="E20" i="3"/>
  <c r="G20" i="3" s="1"/>
  <c r="C13" i="3"/>
  <c r="G3" i="3"/>
  <c r="J20" i="3" l="1"/>
  <c r="J28" i="3" s="1"/>
  <c r="G28" i="3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<sst xmlns="http://schemas.openxmlformats.org/spreadsheetml/2006/main" count="1294" uniqueCount="1280">
  <si>
    <t>COMISIONES</t>
  </si>
  <si>
    <t>CLIENTE:</t>
  </si>
  <si>
    <t>IMPORTE A COMISIONAR</t>
  </si>
  <si>
    <t>ENGANCHE (10%):</t>
  </si>
  <si>
    <t>$ DEPÓSITO:</t>
  </si>
  <si>
    <t>VS:</t>
  </si>
  <si>
    <t>COMISIONISTA</t>
  </si>
  <si>
    <t>PUESTO</t>
  </si>
  <si>
    <t>LOTE</t>
  </si>
  <si>
    <t xml:space="preserve">% COMISIÓN </t>
  </si>
  <si>
    <t>IMPORTE</t>
  </si>
  <si>
    <t>PAGAR</t>
  </si>
  <si>
    <t>ASESOR</t>
  </si>
  <si>
    <t>GERENTE</t>
  </si>
  <si>
    <t>FECHA DE CONTRATO:</t>
  </si>
  <si>
    <t>FECHA DE DEPÓSITOS:</t>
  </si>
  <si>
    <t>FUENTE DE LEAD:</t>
  </si>
  <si>
    <t>HÁBITTA: VENTA</t>
  </si>
  <si>
    <t>TIPO DE PAGO</t>
  </si>
  <si>
    <t xml:space="preserve">DESCUENTOS </t>
  </si>
  <si>
    <t>Nombre de  PROMOCIÓN:</t>
  </si>
  <si>
    <t>REGIÓN:</t>
  </si>
  <si>
    <t>QUERÉTARO</t>
  </si>
  <si>
    <t>REFERENCIA:</t>
  </si>
  <si>
    <t>DVR</t>
  </si>
  <si>
    <t>DVN</t>
  </si>
  <si>
    <t>NAVETEC: VENTA</t>
  </si>
  <si>
    <t>CAMBACEO</t>
  </si>
  <si>
    <t>CLIENTE FIEL</t>
  </si>
  <si>
    <t>CONOCIDO</t>
  </si>
  <si>
    <t>FAMILIAR</t>
  </si>
  <si>
    <t>Marketing CCIMA</t>
  </si>
  <si>
    <t>REFERIDO</t>
  </si>
  <si>
    <t>ALIANZA</t>
  </si>
  <si>
    <t>CALL PICKER</t>
  </si>
  <si>
    <t>CAMPAÑA PERSONAL</t>
  </si>
  <si>
    <t>PLAN SHERPA</t>
  </si>
  <si>
    <t>KAM</t>
  </si>
  <si>
    <t>EQUIPO INTERNO</t>
  </si>
  <si>
    <t>CONT-CENTER</t>
  </si>
  <si>
    <t>N/A</t>
  </si>
  <si>
    <t>CDMX</t>
  </si>
  <si>
    <t>CDMX NORTE</t>
  </si>
  <si>
    <t>Nota: Verificar lineamientos de comisiones entregados previamente, no se aceptará ninguna hoja desprotegida ni alterada</t>
  </si>
  <si>
    <t>FACTURA</t>
  </si>
  <si>
    <t>COMERCIALIZADORA</t>
  </si>
  <si>
    <t>EFECTIVO</t>
  </si>
  <si>
    <t>BONO DE TIERRA</t>
  </si>
  <si>
    <t>CLIENTE LEAL</t>
  </si>
  <si>
    <t>NEXIMO</t>
  </si>
  <si>
    <t>EXPO</t>
  </si>
  <si>
    <t>PAGINA WEB</t>
  </si>
  <si>
    <t>RECOMENDACIÓN</t>
  </si>
  <si>
    <t>BASE DE DATOS</t>
  </si>
  <si>
    <t>REDES SOCIALES</t>
  </si>
  <si>
    <t>BROKERS</t>
  </si>
  <si>
    <t>CHAT</t>
  </si>
  <si>
    <t>GUARDIAS</t>
  </si>
  <si>
    <t>MARKETING</t>
  </si>
  <si>
    <t>DEPTO : COMERCIALIZACIÓN</t>
  </si>
  <si>
    <t>ANGELA GARCIA CISNEROS</t>
  </si>
  <si>
    <t>KARINA PAOLA GUSI TORRES</t>
  </si>
  <si>
    <t>1AEROPUERTO A</t>
  </si>
  <si>
    <t>AEROPUERTO | A | 1 |602.44m2</t>
  </si>
  <si>
    <t>2AEROPUERTO A</t>
  </si>
  <si>
    <t>AEROPUERTO | A | 2 |680.54m2</t>
  </si>
  <si>
    <t>3AEROPUERTO A</t>
  </si>
  <si>
    <t>AEROPUERTO | A | 3 |711.84m2</t>
  </si>
  <si>
    <t>4AEROPUERTO A</t>
  </si>
  <si>
    <t>AEROPUERTO | A | 4 |743.14m2</t>
  </si>
  <si>
    <t>5AEROPUERTO A</t>
  </si>
  <si>
    <t>AEROPUERTO | A | 5 |774.45m2</t>
  </si>
  <si>
    <t>6AEROPUERTO A</t>
  </si>
  <si>
    <t>AEROPUERTO | A | 6 |874.17m2</t>
  </si>
  <si>
    <t>7AEROPUERTO A</t>
  </si>
  <si>
    <t>AEROPUERTO | A | 7 |300m2</t>
  </si>
  <si>
    <t>8AEROPUERTO A</t>
  </si>
  <si>
    <t>AEROPUERTO | A | 8 |300m2</t>
  </si>
  <si>
    <t>9AEROPUERTO A</t>
  </si>
  <si>
    <t>AEROPUERTO | A | 9 |300m2</t>
  </si>
  <si>
    <t>10AEROPUERTO A</t>
  </si>
  <si>
    <t>AEROPUERTO | A | 10 |300m2</t>
  </si>
  <si>
    <t>11AEROPUERTO A</t>
  </si>
  <si>
    <t>AEROPUERTO | A | 11 |327.56m2</t>
  </si>
  <si>
    <t>1AEROPUERTO B</t>
  </si>
  <si>
    <t>AEROPUERTO | B | 1 |487.93m2</t>
  </si>
  <si>
    <t>2AEROPUERTO B</t>
  </si>
  <si>
    <t>AEROPUERTO | B | 2 |504m2</t>
  </si>
  <si>
    <t>3AEROPUERTO B</t>
  </si>
  <si>
    <t>AEROPUERTO | B | 3 |504m2</t>
  </si>
  <si>
    <t>4AEROPUERTO B</t>
  </si>
  <si>
    <t>AEROPUERTO | B | 4 |504m2</t>
  </si>
  <si>
    <t>5AEROPUERTO B</t>
  </si>
  <si>
    <t>AEROPUERTO | B | 5 |504m2</t>
  </si>
  <si>
    <t>6AEROPUERTO B</t>
  </si>
  <si>
    <t>AEROPUERTO | B | 6 |504m2</t>
  </si>
  <si>
    <t>7AEROPUERTO B</t>
  </si>
  <si>
    <t>AEROPUERTO | B | 7 |504m2</t>
  </si>
  <si>
    <t>4AEROPUERTO C</t>
  </si>
  <si>
    <t>AEROPUERTO | C | 4 |602m2</t>
  </si>
  <si>
    <t>8AEROPUERTO B</t>
  </si>
  <si>
    <t>AEROPUERTO | B | 8 |504m2</t>
  </si>
  <si>
    <t>9AEROPUERTO B</t>
  </si>
  <si>
    <t>AEROPUERTO | B | 9 |504m2</t>
  </si>
  <si>
    <t>10AEROPUERTO B</t>
  </si>
  <si>
    <t>AEROPUERTO | B | 10 |596.23m2</t>
  </si>
  <si>
    <t>1AEROPUERTO C</t>
  </si>
  <si>
    <t>AEROPUERTO | C | 1 |649.75m2</t>
  </si>
  <si>
    <t>2AEROPUERTO C</t>
  </si>
  <si>
    <t>AEROPUERTO | C | 2 |602m2</t>
  </si>
  <si>
    <t>3AEROPUERTO C</t>
  </si>
  <si>
    <t>AEROPUERTO | C | 3 |602m2</t>
  </si>
  <si>
    <t>6AEROPUERTO D</t>
  </si>
  <si>
    <t>AEROPUERTO | D | 6 |707m2</t>
  </si>
  <si>
    <t>5AEROPUERTO C</t>
  </si>
  <si>
    <t>AEROPUERTO | C | 5 |602m2</t>
  </si>
  <si>
    <t>6AEROPUERTO C</t>
  </si>
  <si>
    <t>AEROPUERTO | C | 6 |602m2</t>
  </si>
  <si>
    <t>7AEROPUERTO C</t>
  </si>
  <si>
    <t>AEROPUERTO | C | 7 |602m2</t>
  </si>
  <si>
    <t>8AEROPUERTO C</t>
  </si>
  <si>
    <t>AEROPUERTO | C | 8 |602m2</t>
  </si>
  <si>
    <t>9AEROPUERTO C</t>
  </si>
  <si>
    <t>AEROPUERTO | C | 9 |602m2</t>
  </si>
  <si>
    <t>10AEROPUERTO C</t>
  </si>
  <si>
    <t>AEROPUERTO | C | 10 |645.04m2</t>
  </si>
  <si>
    <t>1AEROPUERTO D</t>
  </si>
  <si>
    <t>AEROPUERTO | D | 1 |757.56m2</t>
  </si>
  <si>
    <t>2AEROPUERTO D</t>
  </si>
  <si>
    <t>AEROPUERTO | D | 2 |707m2</t>
  </si>
  <si>
    <t>3AEROPUERTO D</t>
  </si>
  <si>
    <t>AEROPUERTO | D | 3 |707m2</t>
  </si>
  <si>
    <t>4AEROPUERTO D</t>
  </si>
  <si>
    <t>AEROPUERTO | D | 4 |707m2</t>
  </si>
  <si>
    <t>5AEROPUERTO D</t>
  </si>
  <si>
    <t>AEROPUERTO | D | 5 |707m2</t>
  </si>
  <si>
    <t>9AEROPUERTO E</t>
  </si>
  <si>
    <t>AEROPUERTO | E | 9 |402m2</t>
  </si>
  <si>
    <t>7AEROPUERTO D</t>
  </si>
  <si>
    <t>AEROPUERTO | D | 7 |707m2</t>
  </si>
  <si>
    <t>8AEROPUERTO D</t>
  </si>
  <si>
    <t>AEROPUERTO | D | 8 |707m2</t>
  </si>
  <si>
    <t>9AEROPUERTO D</t>
  </si>
  <si>
    <t>AEROPUERTO | D | 9 |707m2</t>
  </si>
  <si>
    <t>10AEROPUERTO D</t>
  </si>
  <si>
    <t>AEROPUERTO | D | 10 |757.57m2</t>
  </si>
  <si>
    <t>1AEROPUERTO E</t>
  </si>
  <si>
    <t>AEROPUERTO | E | 1 |635.27m2</t>
  </si>
  <si>
    <t>2AEROPUERTO E</t>
  </si>
  <si>
    <t>AEROPUERTO | E | 2 |402m2</t>
  </si>
  <si>
    <t>AEROPUERTO | E | 3 |402m2</t>
  </si>
  <si>
    <t>4AEROPUERTO E</t>
  </si>
  <si>
    <t>AEROPUERTO | E | 4 |402m2</t>
  </si>
  <si>
    <t>5AEROPUERTO E</t>
  </si>
  <si>
    <t>AEROPUERTO | E | 5 |402m2</t>
  </si>
  <si>
    <t>6AEROPUERTO E</t>
  </si>
  <si>
    <t>AEROPUERTO | E | 6 |402m2</t>
  </si>
  <si>
    <t>7AEROPUERTO E</t>
  </si>
  <si>
    <t>AEROPUERTO | E | 7 |402m2</t>
  </si>
  <si>
    <t>3AEROPUERTO E</t>
  </si>
  <si>
    <t>8AEROPUERTO E</t>
  </si>
  <si>
    <t>AEROPUERTO | E | 8 |402m2</t>
  </si>
  <si>
    <t>10AEROPUERTO E</t>
  </si>
  <si>
    <t>AEROPUERTO | E | 10 |402m2</t>
  </si>
  <si>
    <t>11AEROPUERTO E</t>
  </si>
  <si>
    <t>AEROPUERTO | E | 11 |402m2</t>
  </si>
  <si>
    <t>12AEROPUERTO E</t>
  </si>
  <si>
    <t>AEROPUERTO | E | 12 |402m2</t>
  </si>
  <si>
    <t>13AEROPUERTO E</t>
  </si>
  <si>
    <t>AEROPUERTO | E | 13 |402m2</t>
  </si>
  <si>
    <t>14AEROPUERTO E</t>
  </si>
  <si>
    <t>AEROPUERTO | E | 14 |402m2</t>
  </si>
  <si>
    <t>15AEROPUERTO E</t>
  </si>
  <si>
    <t>AEROPUERTO | E | 15 |402m2</t>
  </si>
  <si>
    <t>16AEROPUERTO E</t>
  </si>
  <si>
    <t>AEROPUERTO | E | 16 |402m2</t>
  </si>
  <si>
    <t>17AEROPUERTO E</t>
  </si>
  <si>
    <t>AEROPUERTO | E | 17 |424.15m2</t>
  </si>
  <si>
    <t xml:space="preserve">5BETA </t>
  </si>
  <si>
    <t>BETA |  | 5 |36.34m2</t>
  </si>
  <si>
    <t xml:space="preserve">1BETA </t>
  </si>
  <si>
    <t>BETA |  | 1 |36.3m2</t>
  </si>
  <si>
    <t xml:space="preserve">2BETA </t>
  </si>
  <si>
    <t>BETA |  | 2 |36.3m2</t>
  </si>
  <si>
    <t xml:space="preserve">3BETA </t>
  </si>
  <si>
    <t>BETA |  | 3 |36.3m2</t>
  </si>
  <si>
    <t xml:space="preserve">6BETA </t>
  </si>
  <si>
    <t>BETA |  | 6 |43.12m2</t>
  </si>
  <si>
    <t xml:space="preserve">7BETA </t>
  </si>
  <si>
    <t>BETA |  | 7 |43.8m2</t>
  </si>
  <si>
    <t xml:space="preserve">22BETA </t>
  </si>
  <si>
    <t>BETA |  | 22 |42.75m2</t>
  </si>
  <si>
    <t xml:space="preserve">4BETA </t>
  </si>
  <si>
    <t>BETA |  | 4 |36.3m2</t>
  </si>
  <si>
    <t xml:space="preserve">16BETA </t>
  </si>
  <si>
    <t>BETA |  | 16 |36.3m2</t>
  </si>
  <si>
    <t xml:space="preserve">17BETA </t>
  </si>
  <si>
    <t>BETA |  | 17 |36.3m2</t>
  </si>
  <si>
    <t xml:space="preserve">18BETA </t>
  </si>
  <si>
    <t>BETA |  | 18 |36.3m2</t>
  </si>
  <si>
    <t xml:space="preserve">19BETA </t>
  </si>
  <si>
    <t>BETA |  | 19 |36.3m2</t>
  </si>
  <si>
    <t xml:space="preserve">20BETA </t>
  </si>
  <si>
    <t>BETA |  | 20 |36.34m2</t>
  </si>
  <si>
    <t xml:space="preserve">21BETA </t>
  </si>
  <si>
    <t>BETA |  | 21 |43.12m2</t>
  </si>
  <si>
    <t>2CALAMANDA A</t>
  </si>
  <si>
    <t>CALAMANDA | A | 2 |569.8m2</t>
  </si>
  <si>
    <t>3CALAMANDA A</t>
  </si>
  <si>
    <t>CALAMANDA | A | 3 |569.8m2</t>
  </si>
  <si>
    <t>4CALAMANDA A</t>
  </si>
  <si>
    <t>CALAMANDA | A | 4 |569.8m2</t>
  </si>
  <si>
    <t>5CALAMANDA A</t>
  </si>
  <si>
    <t>CALAMANDA | A | 5 |569.8m2</t>
  </si>
  <si>
    <t>2CALAMANDA B</t>
  </si>
  <si>
    <t>CALAMANDA | B | 2 |569.8m2</t>
  </si>
  <si>
    <t>3CALAMANDA B</t>
  </si>
  <si>
    <t>CALAMANDA | B | 3 |569.8m2</t>
  </si>
  <si>
    <t>4CALAMANDA B</t>
  </si>
  <si>
    <t>CALAMANDA | B | 4 |569.8m2</t>
  </si>
  <si>
    <t>1CALAMANDA A</t>
  </si>
  <si>
    <t>CALAMANDA | A | 1 |569.798m2</t>
  </si>
  <si>
    <t>6CALAMANDA A</t>
  </si>
  <si>
    <t>CALAMANDA | A | 6 |569.799m2</t>
  </si>
  <si>
    <t>7CALAMANDA A</t>
  </si>
  <si>
    <t>CALAMANDA | A | 7 |569.799m2</t>
  </si>
  <si>
    <t>8CALAMANDA A</t>
  </si>
  <si>
    <t>CALAMANDA | A | 8 |569.799m2</t>
  </si>
  <si>
    <t>9CALAMANDA A</t>
  </si>
  <si>
    <t>CALAMANDA | A | 9 |569.799m2</t>
  </si>
  <si>
    <t>10CALAMANDA A</t>
  </si>
  <si>
    <t>CALAMANDA | A | 10 |569.8m2</t>
  </si>
  <si>
    <t>11CALAMANDA A</t>
  </si>
  <si>
    <t>CALAMANDA | A | 11 |569.8m2</t>
  </si>
  <si>
    <t>12CALAMANDA A</t>
  </si>
  <si>
    <t>CALAMANDA | A | 12 |569.8m2</t>
  </si>
  <si>
    <t>13CALAMANDA A</t>
  </si>
  <si>
    <t>CALAMANDA | A | 13 |569.8m2</t>
  </si>
  <si>
    <t>14CALAMANDA A</t>
  </si>
  <si>
    <t>CALAMANDA | A | 14 |569.8m2</t>
  </si>
  <si>
    <t>15CALAMANDA A</t>
  </si>
  <si>
    <t>CALAMANDA | A | 15 |569.8m2</t>
  </si>
  <si>
    <t>16CALAMANDA A</t>
  </si>
  <si>
    <t>CALAMANDA | A | 16 |569.8m2</t>
  </si>
  <si>
    <t>17CALAMANDA A</t>
  </si>
  <si>
    <t>CALAMANDA | A | 17 |569.8m2</t>
  </si>
  <si>
    <t>18CALAMANDA A</t>
  </si>
  <si>
    <t>CALAMANDA | A | 18 |844.274m2</t>
  </si>
  <si>
    <t>1CALAMANDA B</t>
  </si>
  <si>
    <t>CALAMANDA | B | 1 |569.8m2</t>
  </si>
  <si>
    <t>5CALAMANDA B</t>
  </si>
  <si>
    <t>CALAMANDA | B | 5 |569.8m2</t>
  </si>
  <si>
    <t>6CALAMANDA B</t>
  </si>
  <si>
    <t>CALAMANDA | B | 6 |569.8m2</t>
  </si>
  <si>
    <t>7CALAMANDA B</t>
  </si>
  <si>
    <t>CALAMANDA | B | 7 |569.8m2</t>
  </si>
  <si>
    <t>8CALAMANDA B</t>
  </si>
  <si>
    <t>CALAMANDA | B | 8 |569.8m2</t>
  </si>
  <si>
    <t>9CALAMANDA B</t>
  </si>
  <si>
    <t>CALAMANDA | B | 9 |569.8m2</t>
  </si>
  <si>
    <t>10CALAMANDA B</t>
  </si>
  <si>
    <t>CALAMANDA | B | 10 |569.8m2</t>
  </si>
  <si>
    <t>11CALAMANDA B</t>
  </si>
  <si>
    <t>CALAMANDA | B | 11 |569.8m2</t>
  </si>
  <si>
    <t>12CALAMANDA B</t>
  </si>
  <si>
    <t>CALAMANDA | B | 12 |569.8m2</t>
  </si>
  <si>
    <t>13CALAMANDA B</t>
  </si>
  <si>
    <t>CALAMANDA | B | 13 |569.8m2</t>
  </si>
  <si>
    <t>14CALAMANDA B</t>
  </si>
  <si>
    <t>CALAMANDA | B | 14 |569.8m2</t>
  </si>
  <si>
    <t>15CALAMANDA B</t>
  </si>
  <si>
    <t>CALAMANDA | B | 15 |569.8m2</t>
  </si>
  <si>
    <t>16CALAMANDA B</t>
  </si>
  <si>
    <t>CALAMANDA | B | 16 |569.8m2</t>
  </si>
  <si>
    <t>17CALAMANDA B</t>
  </si>
  <si>
    <t>CALAMANDA | B | 17 |569.8m2</t>
  </si>
  <si>
    <t>18CALAMANDA B</t>
  </si>
  <si>
    <t>CALAMANDA | B | 18 |946.06m2</t>
  </si>
  <si>
    <t>1CELTA A</t>
  </si>
  <si>
    <t>CELTA | A | 1 |322m2</t>
  </si>
  <si>
    <t>2CELTA A</t>
  </si>
  <si>
    <t>CELTA | A | 2 |716.395m2</t>
  </si>
  <si>
    <t>1CELTA B</t>
  </si>
  <si>
    <t>CELTA | B | 1 |322m2</t>
  </si>
  <si>
    <t>4CELTA B</t>
  </si>
  <si>
    <t>CELTA | B | 4 |595.255m2</t>
  </si>
  <si>
    <t>3CELTA B</t>
  </si>
  <si>
    <t>CELTA | B | 3 |322m2</t>
  </si>
  <si>
    <t>2CELTA B</t>
  </si>
  <si>
    <t>CELTA | B | 2 |322m2</t>
  </si>
  <si>
    <t>1CELTA C</t>
  </si>
  <si>
    <t>CELTA | C | 1 |322m2</t>
  </si>
  <si>
    <t>5CELTA C</t>
  </si>
  <si>
    <t>CELTA | C | 5 |371.1m2</t>
  </si>
  <si>
    <t>2CELTA C</t>
  </si>
  <si>
    <t>CELTA | C | 2 |322m2</t>
  </si>
  <si>
    <t>3CELTA C</t>
  </si>
  <si>
    <t>CELTA | C | 3 |322m2</t>
  </si>
  <si>
    <t>4CELTA C</t>
  </si>
  <si>
    <t>CELTA | C | 4 |322m2</t>
  </si>
  <si>
    <t>3CELTA D</t>
  </si>
  <si>
    <t>CELTA | D | 3 |322m2</t>
  </si>
  <si>
    <t>2CELTA D</t>
  </si>
  <si>
    <t>CELTA | D | 2 |322m2</t>
  </si>
  <si>
    <t>1CELTA D</t>
  </si>
  <si>
    <t>CELTA | D | 1 |322m2</t>
  </si>
  <si>
    <t>5CELTA D</t>
  </si>
  <si>
    <t>CELTA | D | 5 |371.1m2</t>
  </si>
  <si>
    <t>4CELTA D</t>
  </si>
  <si>
    <t>CELTA | D | 4 |322m2</t>
  </si>
  <si>
    <t>1CELTA E</t>
  </si>
  <si>
    <t>CELTA | E | 1 |406m2</t>
  </si>
  <si>
    <t>4CELTA E</t>
  </si>
  <si>
    <t>CELTA | E | 4 |406m2</t>
  </si>
  <si>
    <t>3CELTA E</t>
  </si>
  <si>
    <t>CELTA | E | 3 |406m2</t>
  </si>
  <si>
    <t>2CELTA E</t>
  </si>
  <si>
    <t>CELTA | E | 2 |406m2</t>
  </si>
  <si>
    <t>5CELTA E</t>
  </si>
  <si>
    <t>CELTA | E | 5 |467.915m2</t>
  </si>
  <si>
    <t>1CELTA F</t>
  </si>
  <si>
    <t>CELTA | F | 1 |406m2</t>
  </si>
  <si>
    <t>2CELTA F</t>
  </si>
  <si>
    <t>CELTA | F | 2 |406m2</t>
  </si>
  <si>
    <t>3CELTA F</t>
  </si>
  <si>
    <t>CELTA | F | 3 |406m2</t>
  </si>
  <si>
    <t>4CELTA F</t>
  </si>
  <si>
    <t>CELTA | F | 4 |406m2</t>
  </si>
  <si>
    <t>5CELTA F</t>
  </si>
  <si>
    <t>CELTA | F | 5 |467.915m2</t>
  </si>
  <si>
    <t>3CELTA G</t>
  </si>
  <si>
    <t>CELTA | G | 3 |611.954m2</t>
  </si>
  <si>
    <t>4CELTA G</t>
  </si>
  <si>
    <t>CELTA | G | 4 |599.913m2</t>
  </si>
  <si>
    <t>5CELTA G</t>
  </si>
  <si>
    <t>CELTA | G | 5 |587.871m2</t>
  </si>
  <si>
    <t>1CELTA G</t>
  </si>
  <si>
    <t>CELTA | G | 1 |742.964m2</t>
  </si>
  <si>
    <t>2CELTA G</t>
  </si>
  <si>
    <t>CELTA | G | 2 |623.996m2</t>
  </si>
  <si>
    <t>6CELTA G</t>
  </si>
  <si>
    <t>CELTA | G | 6 |575.806m2</t>
  </si>
  <si>
    <t>1GAMMA I A</t>
  </si>
  <si>
    <t>GAMMA I | A | 1 |519.68m2</t>
  </si>
  <si>
    <t>2GAMMA I A</t>
  </si>
  <si>
    <t>GAMMA I | A | 2 |569.8m2</t>
  </si>
  <si>
    <t>4GAMMA I A</t>
  </si>
  <si>
    <t>GAMMA I | A | 4 |569.8m2</t>
  </si>
  <si>
    <t>5GAMMA I A</t>
  </si>
  <si>
    <t>GAMMA I | A | 5 |569.8m2</t>
  </si>
  <si>
    <t>6GAMMA I A</t>
  </si>
  <si>
    <t>GAMMA I | A | 6 |569.8m2</t>
  </si>
  <si>
    <t>7GAMMA I A</t>
  </si>
  <si>
    <t>GAMMA I | A | 7 |569.8m2</t>
  </si>
  <si>
    <t>8GAMMA I A</t>
  </si>
  <si>
    <t>GAMMA I | A | 8 |569.8m2</t>
  </si>
  <si>
    <t>10GAMMA I A</t>
  </si>
  <si>
    <t>GAMMA I | A | 10 |569.8m2</t>
  </si>
  <si>
    <t>11GAMMA I A</t>
  </si>
  <si>
    <t>GAMMA I | A | 11 |569.8m2</t>
  </si>
  <si>
    <t>12GAMMA I A</t>
  </si>
  <si>
    <t>GAMMA I | A | 12 |569.8m2</t>
  </si>
  <si>
    <t>6GAMMA I B</t>
  </si>
  <si>
    <t>GAMMA I | B | 6 |484.12m2</t>
  </si>
  <si>
    <t>5GAMMA I D</t>
  </si>
  <si>
    <t>GAMMA I | D | 5 |484.12m2</t>
  </si>
  <si>
    <t>8GAMMA I F</t>
  </si>
  <si>
    <t>GAMMA I | F | 8 |569.8m2</t>
  </si>
  <si>
    <t>3GAMMA I A</t>
  </si>
  <si>
    <t>GAMMA I | A | 3 |569.8m2</t>
  </si>
  <si>
    <t>9GAMMA I A</t>
  </si>
  <si>
    <t>GAMMA I | A | 9 |569.8m2</t>
  </si>
  <si>
    <t>13GAMMA I A</t>
  </si>
  <si>
    <t>GAMMA I | A | 13 |569.8m2</t>
  </si>
  <si>
    <t>14GAMMA I A</t>
  </si>
  <si>
    <t>GAMMA I | A | 14 |569.8m2</t>
  </si>
  <si>
    <t>4GAMMA I B</t>
  </si>
  <si>
    <t>GAMMA I | B | 4 |484.12m2</t>
  </si>
  <si>
    <t>5GAMMA I B</t>
  </si>
  <si>
    <t>GAMMA I | B | 5 |484.12m2</t>
  </si>
  <si>
    <t>9GAMMA I B</t>
  </si>
  <si>
    <t>GAMMA I | B | 9 |484.12m2</t>
  </si>
  <si>
    <t>10GAMMA I B</t>
  </si>
  <si>
    <t>GAMMA I | B | 10 |553.42m2</t>
  </si>
  <si>
    <t>3GAMMA I C</t>
  </si>
  <si>
    <t>GAMMA I | C | 3 |484.12m2</t>
  </si>
  <si>
    <t>4GAMMA I C</t>
  </si>
  <si>
    <t>GAMMA I | C | 4 |484.12m2</t>
  </si>
  <si>
    <t>4GAMMA I D</t>
  </si>
  <si>
    <t>GAMMA I | D | 4 |484.12m2</t>
  </si>
  <si>
    <t>8GAMMA I D</t>
  </si>
  <si>
    <t>GAMMA I | D | 8 |484.12m2</t>
  </si>
  <si>
    <t>9GAMMA I D</t>
  </si>
  <si>
    <t>GAMMA I | D | 9 |484.12m2</t>
  </si>
  <si>
    <t>10GAMMA I D</t>
  </si>
  <si>
    <t>GAMMA I | D | 10 |494.08m2</t>
  </si>
  <si>
    <t>5GAMMA I E</t>
  </si>
  <si>
    <t>GAMMA I | E | 5 |484.12m2</t>
  </si>
  <si>
    <t>6GAMMA I E</t>
  </si>
  <si>
    <t>GAMMA I | E | 6 |484.12m2</t>
  </si>
  <si>
    <t>7GAMMA I E</t>
  </si>
  <si>
    <t>GAMMA I | E | 7 |484.12m2</t>
  </si>
  <si>
    <t>8GAMMA I E</t>
  </si>
  <si>
    <t>GAMMA I | E | 8 |484.12m2</t>
  </si>
  <si>
    <t>9GAMMA I E</t>
  </si>
  <si>
    <t>GAMMA I | E | 9 |484.12m2</t>
  </si>
  <si>
    <t>10GAMMA I E</t>
  </si>
  <si>
    <t>GAMMA I | E | 10 |471.74m2</t>
  </si>
  <si>
    <t>3GAMMA I F</t>
  </si>
  <si>
    <t>GAMMA I | F | 3 |569.8m2</t>
  </si>
  <si>
    <t>6GAMMA I F</t>
  </si>
  <si>
    <t>GAMMA I | F | 6 |569.8m2</t>
  </si>
  <si>
    <t>7GAMMA I F</t>
  </si>
  <si>
    <t>GAMMA I | F | 7 |569.8m2</t>
  </si>
  <si>
    <t>9GAMMA I F</t>
  </si>
  <si>
    <t>GAMMA I | F | 9 |569.8m2</t>
  </si>
  <si>
    <t>10GAMMA I F</t>
  </si>
  <si>
    <t>GAMMA I | F | 10 |504.5m2</t>
  </si>
  <si>
    <t>15GAMMA I A</t>
  </si>
  <si>
    <t>GAMMA I | A | 15 |569.8m2</t>
  </si>
  <si>
    <t>8GAMMA I B</t>
  </si>
  <si>
    <t>GAMMA I | B | 8 |484.12m2</t>
  </si>
  <si>
    <t>2GAMMA I C</t>
  </si>
  <si>
    <t>GAMMA I | C | 2 |484.12m2</t>
  </si>
  <si>
    <t>5GAMMA I C</t>
  </si>
  <si>
    <t>GAMMA I | C | 5 |484.12m2</t>
  </si>
  <si>
    <t>8GAMMA I C</t>
  </si>
  <si>
    <t>GAMMA I | C | 8 |484.12m2</t>
  </si>
  <si>
    <t>9GAMMA I C</t>
  </si>
  <si>
    <t>GAMMA I | C | 9 |484.12m2</t>
  </si>
  <si>
    <t>10GAMMA I C</t>
  </si>
  <si>
    <t>GAMMA I | C | 10 |531.22m2</t>
  </si>
  <si>
    <t>1GAMMA I D</t>
  </si>
  <si>
    <t>GAMMA I | D | 1 |484.12m2</t>
  </si>
  <si>
    <t>2GAMMA I D</t>
  </si>
  <si>
    <t>GAMMA I | D | 2 |484.12m2</t>
  </si>
  <si>
    <t>3GAMMA I D</t>
  </si>
  <si>
    <t>GAMMA I | D | 3 |484.12m2</t>
  </si>
  <si>
    <t>2GAMMA I E</t>
  </si>
  <si>
    <t>GAMMA I | E | 2 |484.12m2</t>
  </si>
  <si>
    <t>3GAMMA I E</t>
  </si>
  <si>
    <t>GAMMA I | E | 3 |484.12m2</t>
  </si>
  <si>
    <t>4GAMMA I E</t>
  </si>
  <si>
    <t>GAMMA I | E | 4 |484.12m2</t>
  </si>
  <si>
    <t>1GAMMA I F</t>
  </si>
  <si>
    <t>GAMMA I | F | 1 |569.8m2</t>
  </si>
  <si>
    <t>2GAMMA I F</t>
  </si>
  <si>
    <t>GAMMA I | F | 2 |569.8m2</t>
  </si>
  <si>
    <t>4GAMMA I F</t>
  </si>
  <si>
    <t>GAMMA I | F | 4 |569.8m2</t>
  </si>
  <si>
    <t>5GAMMA I F</t>
  </si>
  <si>
    <t>GAMMA I | F | 5 |569.8m2</t>
  </si>
  <si>
    <t>16GAMMA I A</t>
  </si>
  <si>
    <t>GAMMA I | A | 16 |569.8m2</t>
  </si>
  <si>
    <t>1GAMMA I B</t>
  </si>
  <si>
    <t>GAMMA I | B | 1 |484.12m2</t>
  </si>
  <si>
    <t>7GAMMA I B</t>
  </si>
  <si>
    <t>GAMMA I | B | 7 |484.12m2</t>
  </si>
  <si>
    <t>6GAMMA I C</t>
  </si>
  <si>
    <t>GAMMA I | C | 6 |484.12m2</t>
  </si>
  <si>
    <t>7GAMMA I C</t>
  </si>
  <si>
    <t>GAMMA I | C | 7 |484.12m2</t>
  </si>
  <si>
    <t>2GAMMA I B</t>
  </si>
  <si>
    <t>GAMMA I | B | 2 |484.12m2</t>
  </si>
  <si>
    <t>3GAMMA I B</t>
  </si>
  <si>
    <t>GAMMA I | B | 3 |484.12m2</t>
  </si>
  <si>
    <t>1GAMMA I E</t>
  </si>
  <si>
    <t>GAMMA I | E | 1 |484.12m2</t>
  </si>
  <si>
    <t>1GAMMA I C</t>
  </si>
  <si>
    <t>GAMMA I | C | 1 |484.12m2</t>
  </si>
  <si>
    <t>6GAMMA I D</t>
  </si>
  <si>
    <t>GAMMA I | D | 6 |484.12m2</t>
  </si>
  <si>
    <t>7GAMMA I D</t>
  </si>
  <si>
    <t>GAMMA I | D | 7 |484.12m2</t>
  </si>
  <si>
    <t>1GAMMA II G</t>
  </si>
  <si>
    <t>GAMMA II | G | 1 |638.16m2</t>
  </si>
  <si>
    <t>2GAMMA II G</t>
  </si>
  <si>
    <t>GAMMA II | G | 2 |549.22m2</t>
  </si>
  <si>
    <t>3GAMMA II G</t>
  </si>
  <si>
    <t>GAMMA II | G | 3 |549.22m2</t>
  </si>
  <si>
    <t>4GAMMA II G</t>
  </si>
  <si>
    <t>GAMMA II | G | 4 |549.22m2</t>
  </si>
  <si>
    <t>5GAMMA II G</t>
  </si>
  <si>
    <t>GAMMA II | G | 5 |549.22m2</t>
  </si>
  <si>
    <t>6GAMMA II G</t>
  </si>
  <si>
    <t>GAMMA II | G | 6 |549.22m2</t>
  </si>
  <si>
    <t>7GAMMA II G</t>
  </si>
  <si>
    <t>GAMMA II | G | 7 |549.22m2</t>
  </si>
  <si>
    <t>8GAMMA II G</t>
  </si>
  <si>
    <t>GAMMA II | G | 8 |549.22m2</t>
  </si>
  <si>
    <t>9GAMMA II G</t>
  </si>
  <si>
    <t>GAMMA II | G | 9 |549.22m2</t>
  </si>
  <si>
    <t>10GAMMA II G</t>
  </si>
  <si>
    <t>GAMMA II | G | 10 |549.22m2</t>
  </si>
  <si>
    <t>11GAMMA II G</t>
  </si>
  <si>
    <t>GAMMA II | G | 11 |549.22m2</t>
  </si>
  <si>
    <t>12GAMMA II G</t>
  </si>
  <si>
    <t>GAMMA II | G | 12 |549.22m2</t>
  </si>
  <si>
    <t>13GAMMA II G</t>
  </si>
  <si>
    <t>GAMMA II | G | 13 |549.22m2</t>
  </si>
  <si>
    <t>14GAMMA II G</t>
  </si>
  <si>
    <t>GAMMA II | G | 14 |549.22m2</t>
  </si>
  <si>
    <t>15GAMMA II G</t>
  </si>
  <si>
    <t>GAMMA II | G | 15 |549.22m2</t>
  </si>
  <si>
    <t>16GAMMA II G</t>
  </si>
  <si>
    <t>GAMMA II | G | 16 |549.22m2</t>
  </si>
  <si>
    <t>17GAMMA II G</t>
  </si>
  <si>
    <t>GAMMA II | G | 17 |663.95m2</t>
  </si>
  <si>
    <t>1GAMMA II H</t>
  </si>
  <si>
    <t>GAMMA II | H | 1 |569.8m2</t>
  </si>
  <si>
    <t>2GAMMA II H</t>
  </si>
  <si>
    <t>GAMMA II | H | 2 |569.8m2</t>
  </si>
  <si>
    <t>3GAMMA II H</t>
  </si>
  <si>
    <t>GAMMA II | H | 3 |569.8m2</t>
  </si>
  <si>
    <t>4GAMMA II H</t>
  </si>
  <si>
    <t>GAMMA II | H | 4 |569.8m2</t>
  </si>
  <si>
    <t>6GAMMA II H</t>
  </si>
  <si>
    <t>GAMMA II | H | 6 |569.8m2</t>
  </si>
  <si>
    <t>7GAMMA II H</t>
  </si>
  <si>
    <t>GAMMA II | H | 7 |569.8m2</t>
  </si>
  <si>
    <t>8GAMMA II H</t>
  </si>
  <si>
    <t>GAMMA II | H | 8 |569.8m2</t>
  </si>
  <si>
    <t>9GAMMA II H</t>
  </si>
  <si>
    <t>GAMMA II | H | 9 |569.8m2</t>
  </si>
  <si>
    <t>10GAMMA II H</t>
  </si>
  <si>
    <t>GAMMA II | H | 10 |569.8m2</t>
  </si>
  <si>
    <t>11GAMMA II H</t>
  </si>
  <si>
    <t>GAMMA II | H | 11 |569.8m2</t>
  </si>
  <si>
    <t>12GAMMA II H</t>
  </si>
  <si>
    <t>GAMMA II | H | 12 |569.8m2</t>
  </si>
  <si>
    <t>13GAMMA II H</t>
  </si>
  <si>
    <t>GAMMA II | H | 13 |569.8m2</t>
  </si>
  <si>
    <t>14GAMMA II H</t>
  </si>
  <si>
    <t>GAMMA II | H | 14 |569.8m2</t>
  </si>
  <si>
    <t>15GAMMA II H</t>
  </si>
  <si>
    <t>GAMMA II | H | 15 |651.2m2</t>
  </si>
  <si>
    <t>16GAMMA II H</t>
  </si>
  <si>
    <t>GAMMA II | H | 16 |649.32m2</t>
  </si>
  <si>
    <t>17GAMMA II H</t>
  </si>
  <si>
    <t>GAMMA II | H | 17 |m2</t>
  </si>
  <si>
    <t>1GAMMA II I</t>
  </si>
  <si>
    <t>GAMMA II | I | 1 |415.32m2</t>
  </si>
  <si>
    <t>2GAMMA II I</t>
  </si>
  <si>
    <t>GAMMA II | I | 2 |355.99m2</t>
  </si>
  <si>
    <t>3GAMMA II I</t>
  </si>
  <si>
    <t>GAMMA II | I | 3 |355.99m2</t>
  </si>
  <si>
    <t>4GAMMA II I</t>
  </si>
  <si>
    <t>GAMMA II | I | 4 |355.99m2</t>
  </si>
  <si>
    <t>5GAMMA II I</t>
  </si>
  <si>
    <t>GAMMA II | I | 5 |355.99m2</t>
  </si>
  <si>
    <t>6GAMMA II I</t>
  </si>
  <si>
    <t>GAMMA II | I | 6 |393.66m2</t>
  </si>
  <si>
    <t>1GAMMA II J</t>
  </si>
  <si>
    <t>GAMMA II | J | 1 |311.18m2</t>
  </si>
  <si>
    <t>2GAMMA II J</t>
  </si>
  <si>
    <t>GAMMA II | J | 2 |300m2</t>
  </si>
  <si>
    <t>3GAMMA II J</t>
  </si>
  <si>
    <t>GAMMA II | J | 3 |300m2</t>
  </si>
  <si>
    <t>4GAMMA II J</t>
  </si>
  <si>
    <t>GAMMA II | J | 4 |300m2</t>
  </si>
  <si>
    <t>5GAMMA II J</t>
  </si>
  <si>
    <t>GAMMA II | J | 5 |300m2</t>
  </si>
  <si>
    <t>6GAMMA II J</t>
  </si>
  <si>
    <t>GAMMA II | J | 6 |300m2</t>
  </si>
  <si>
    <t>7GAMMA II J</t>
  </si>
  <si>
    <t>GAMMA II | J | 7 |300m2</t>
  </si>
  <si>
    <t>8GAMMA II J</t>
  </si>
  <si>
    <t>GAMMA II | J | 8 |300m2</t>
  </si>
  <si>
    <t>9GAMMA II J</t>
  </si>
  <si>
    <t>GAMMA II | J | 9 |211.97m2</t>
  </si>
  <si>
    <t>1GAMMA II K</t>
  </si>
  <si>
    <t>GAMMA II | K | 1 |335.78m2</t>
  </si>
  <si>
    <t>2GAMMA II K</t>
  </si>
  <si>
    <t>GAMMA II | K | 2 |300m2</t>
  </si>
  <si>
    <t>3GAMMA II K</t>
  </si>
  <si>
    <t>GAMMA II | K | 3 |300m2</t>
  </si>
  <si>
    <t>4GAMMA II K</t>
  </si>
  <si>
    <t>GAMMA II | K | 4 |262.48m2</t>
  </si>
  <si>
    <t>5GAMMA II K</t>
  </si>
  <si>
    <t>GAMMA II | K | 5 |276.55m2</t>
  </si>
  <si>
    <t>1GAMMA II L</t>
  </si>
  <si>
    <t>GAMMA II | L | 1 |311.93m2</t>
  </si>
  <si>
    <t>2GAMMA II L</t>
  </si>
  <si>
    <t>GAMMA II | L | 2 |300m2</t>
  </si>
  <si>
    <t>3GAMMA II L</t>
  </si>
  <si>
    <t>GAMMA II | L | 3 |300m2</t>
  </si>
  <si>
    <t>4GAMMA II L</t>
  </si>
  <si>
    <t>GAMMA II | L | 4 |290.63m2</t>
  </si>
  <si>
    <t>5GAMMA II L</t>
  </si>
  <si>
    <t>GAMMA II | L | 5 |276.55m2</t>
  </si>
  <si>
    <t>1GAMMA II M</t>
  </si>
  <si>
    <t>GAMMA II | M | 1 |440.58m2</t>
  </si>
  <si>
    <t>2GAMMA II M</t>
  </si>
  <si>
    <t>GAMMA II | M | 2 |440.58m2</t>
  </si>
  <si>
    <t>3GAMMA II M</t>
  </si>
  <si>
    <t>GAMMA II | M | 3 |440.58m2</t>
  </si>
  <si>
    <t>4GAMMA II M</t>
  </si>
  <si>
    <t>GAMMA II | M | 4 |519.68m2</t>
  </si>
  <si>
    <t>5GAMMA II X</t>
  </si>
  <si>
    <t>GAMMA II | X | 5 |569.8m2</t>
  </si>
  <si>
    <t>4LA PRESA A</t>
  </si>
  <si>
    <t>LA PRESA | A | 4 |290.51m2</t>
  </si>
  <si>
    <t>9LA PRESA A</t>
  </si>
  <si>
    <t>LA PRESA | A | 9 |297.81m2</t>
  </si>
  <si>
    <t>2LA PRESA B</t>
  </si>
  <si>
    <t>LA PRESA | B | 2 |322m2</t>
  </si>
  <si>
    <t>3LA PRESA B</t>
  </si>
  <si>
    <t>LA PRESA | B | 3 |322m2</t>
  </si>
  <si>
    <t>4LA PRESA B</t>
  </si>
  <si>
    <t>LA PRESA | B | 4 |322m2</t>
  </si>
  <si>
    <t>6LA PRESA B</t>
  </si>
  <si>
    <t>LA PRESA | B | 6 |322m2</t>
  </si>
  <si>
    <t>11LA PRESA B</t>
  </si>
  <si>
    <t>LA PRESA | B | 11 |322m2</t>
  </si>
  <si>
    <t>12LA PRESA B</t>
  </si>
  <si>
    <t>LA PRESA | B | 12 |322m2</t>
  </si>
  <si>
    <t>13LA PRESA B</t>
  </si>
  <si>
    <t>LA PRESA | B | 13 |433.1m2</t>
  </si>
  <si>
    <t>1LA PRESA C</t>
  </si>
  <si>
    <t>LA PRESA | C | 1 |643.3m2</t>
  </si>
  <si>
    <t>3LA PRESA C</t>
  </si>
  <si>
    <t>LA PRESA | C | 3 |406m2</t>
  </si>
  <si>
    <t>4LA PRESA C</t>
  </si>
  <si>
    <t>LA PRESA | C | 4 |406m2</t>
  </si>
  <si>
    <t>5LA PRESA C</t>
  </si>
  <si>
    <t>LA PRESA | C | 5 |406m2</t>
  </si>
  <si>
    <t>10LA PRESA C</t>
  </si>
  <si>
    <t>LA PRESA | C | 10 |406m2</t>
  </si>
  <si>
    <t>11LA PRESA C</t>
  </si>
  <si>
    <t>LA PRESA | C | 11 |406m2</t>
  </si>
  <si>
    <t>12LA PRESA C</t>
  </si>
  <si>
    <t>LA PRESA | C | 12 |406m2</t>
  </si>
  <si>
    <t>12LA PRESA E</t>
  </si>
  <si>
    <t>LA PRESA | E | 12 |959.09m2</t>
  </si>
  <si>
    <t>1LA PRESA A</t>
  </si>
  <si>
    <t>LA PRESA | A | 1 |352.22m2</t>
  </si>
  <si>
    <t>3LA PRESA A</t>
  </si>
  <si>
    <t>LA PRESA | A | 3 |289.05m2</t>
  </si>
  <si>
    <t>1LA PRESA B</t>
  </si>
  <si>
    <t>LA PRESA | B | 1 |284.53m2</t>
  </si>
  <si>
    <t>5LA PRESA B</t>
  </si>
  <si>
    <t>LA PRESA | B | 5 |322m2</t>
  </si>
  <si>
    <t>4LA PRESA D</t>
  </si>
  <si>
    <t>LA PRESA | D | 4 |504m2</t>
  </si>
  <si>
    <t>5LA PRESA A</t>
  </si>
  <si>
    <t>LA PRESA | A | 5 |291.97m2</t>
  </si>
  <si>
    <t>6LA PRESA A</t>
  </si>
  <si>
    <t>LA PRESA | A | 6 |293.43m2</t>
  </si>
  <si>
    <t>7LA PRESA A</t>
  </si>
  <si>
    <t>LA PRESA | A | 7 |294.89m2</t>
  </si>
  <si>
    <t>8LA PRESA A</t>
  </si>
  <si>
    <t>LA PRESA | A | 8 |296.35m2</t>
  </si>
  <si>
    <t>10LA PRESA A</t>
  </si>
  <si>
    <t>LA PRESA | A | 10 |299.27m2</t>
  </si>
  <si>
    <t>11LA PRESA A</t>
  </si>
  <si>
    <t>LA PRESA | A | 11 |352.6m2</t>
  </si>
  <si>
    <t>7LA PRESA B</t>
  </si>
  <si>
    <t>LA PRESA | B | 7 |322m2</t>
  </si>
  <si>
    <t>8LA PRESA B</t>
  </si>
  <si>
    <t>LA PRESA | B | 8 |322m2</t>
  </si>
  <si>
    <t>9LA PRESA B</t>
  </si>
  <si>
    <t>LA PRESA | B | 9 |322m2</t>
  </si>
  <si>
    <t>10LA PRESA B</t>
  </si>
  <si>
    <t>LA PRESA | B | 10 |322m2</t>
  </si>
  <si>
    <t>2LA PRESA C</t>
  </si>
  <si>
    <t>LA PRESA | C | 2 |406m2</t>
  </si>
  <si>
    <t>6LA PRESA C</t>
  </si>
  <si>
    <t>LA PRESA | C | 6 |406m2</t>
  </si>
  <si>
    <t>7LA PRESA C</t>
  </si>
  <si>
    <t>LA PRESA | C | 7 |406m2</t>
  </si>
  <si>
    <t>8LA PRESA C</t>
  </si>
  <si>
    <t>LA PRESA | C | 8 |406m2</t>
  </si>
  <si>
    <t>9LA PRESA C</t>
  </si>
  <si>
    <t>LA PRESA | C | 9 |406m2</t>
  </si>
  <si>
    <t>13LA PRESA C</t>
  </si>
  <si>
    <t>LA PRESA | C | 13 |264.06m2</t>
  </si>
  <si>
    <t>1LA PRESA D</t>
  </si>
  <si>
    <t>LA PRESA | D | 1 |562.88m2</t>
  </si>
  <si>
    <t>2LA PRESA D</t>
  </si>
  <si>
    <t>LA PRESA | D | 2 |504m2</t>
  </si>
  <si>
    <t>3LA PRESA D</t>
  </si>
  <si>
    <t>LA PRESA | D | 3 |504m2</t>
  </si>
  <si>
    <t>5LA PRESA D</t>
  </si>
  <si>
    <t>LA PRESA | D | 5 |504m2</t>
  </si>
  <si>
    <t>6LA PRESA D</t>
  </si>
  <si>
    <t>LA PRESA | D | 6 |504m2</t>
  </si>
  <si>
    <t>7LA PRESA D</t>
  </si>
  <si>
    <t>LA PRESA | D | 7 |504m2</t>
  </si>
  <si>
    <t>8LA PRESA D</t>
  </si>
  <si>
    <t>LA PRESA | D | 8 |504m2</t>
  </si>
  <si>
    <t>9LA PRESA D</t>
  </si>
  <si>
    <t>LA PRESA | D | 9 |504m2</t>
  </si>
  <si>
    <t>10LA PRESA D</t>
  </si>
  <si>
    <t>LA PRESA | D | 10 |504m2</t>
  </si>
  <si>
    <t>11LA PRESA D</t>
  </si>
  <si>
    <t>LA PRESA | D | 11 |504m2</t>
  </si>
  <si>
    <t>12LA PRESA D</t>
  </si>
  <si>
    <t>LA PRESA | D | 12 |504m2</t>
  </si>
  <si>
    <t>13LA PRESA D</t>
  </si>
  <si>
    <t>LA PRESA | D | 13 |569.13m2</t>
  </si>
  <si>
    <t>1LA PRESA E</t>
  </si>
  <si>
    <t>LA PRESA | E | 1 |1000.74m2</t>
  </si>
  <si>
    <t>2LA PRESA E</t>
  </si>
  <si>
    <t>LA PRESA | E | 2 |602m2</t>
  </si>
  <si>
    <t>3LA PRESA E</t>
  </si>
  <si>
    <t>LA PRESA | E | 3 |602m2</t>
  </si>
  <si>
    <t>4LA PRESA E</t>
  </si>
  <si>
    <t>LA PRESA | E | 4 |602m2</t>
  </si>
  <si>
    <t>5LA PRESA E</t>
  </si>
  <si>
    <t>LA PRESA | E | 5 |602m2</t>
  </si>
  <si>
    <t>6LA PRESA E</t>
  </si>
  <si>
    <t>LA PRESA | E | 6 |602m2</t>
  </si>
  <si>
    <t>7LA PRESA E</t>
  </si>
  <si>
    <t>LA PRESA | E | 7 |602m2</t>
  </si>
  <si>
    <t>8LA PRESA E</t>
  </si>
  <si>
    <t>LA PRESA | E | 8 |602m2</t>
  </si>
  <si>
    <t>9LA PRESA E</t>
  </si>
  <si>
    <t>LA PRESA | E | 9 |602m2</t>
  </si>
  <si>
    <t>10LA PRESA E</t>
  </si>
  <si>
    <t>LA PRESA | E | 10 |602m2</t>
  </si>
  <si>
    <t>11LA PRESA E</t>
  </si>
  <si>
    <t>LA PRESA | E | 11 |602m2</t>
  </si>
  <si>
    <t>1LA PRESA F</t>
  </si>
  <si>
    <t>LA PRESA | F | 1 |768.76m2</t>
  </si>
  <si>
    <t>2LA PRESA F</t>
  </si>
  <si>
    <t>LA PRESA | F | 2 |700m2</t>
  </si>
  <si>
    <t>3LA PRESA F</t>
  </si>
  <si>
    <t>LA PRESA | F | 3 |700m2</t>
  </si>
  <si>
    <t>4LA PRESA F</t>
  </si>
  <si>
    <t>LA PRESA | F | 4 |700m2</t>
  </si>
  <si>
    <t>5LA PRESA F</t>
  </si>
  <si>
    <t>LA PRESA | F | 5 |700m2</t>
  </si>
  <si>
    <t>6LA PRESA F</t>
  </si>
  <si>
    <t>LA PRESA | F | 6 |700m2</t>
  </si>
  <si>
    <t>7LA PRESA F</t>
  </si>
  <si>
    <t>LA PRESA | F | 7 |700m2</t>
  </si>
  <si>
    <t>8LA PRESA F</t>
  </si>
  <si>
    <t>LA PRESA | F | 8 |700m2</t>
  </si>
  <si>
    <t>9LA PRESA F</t>
  </si>
  <si>
    <t>LA PRESA | F | 9 |700m2</t>
  </si>
  <si>
    <t>10LA PRESA F</t>
  </si>
  <si>
    <t>LA PRESA | F | 10 |700m2</t>
  </si>
  <si>
    <t>11LA PRESA F</t>
  </si>
  <si>
    <t>LA PRESA | F | 11 |700m2</t>
  </si>
  <si>
    <t>12LA PRESA F</t>
  </si>
  <si>
    <t>LA PRESA | F | 12 |700m2</t>
  </si>
  <si>
    <t>13LA PRESA F</t>
  </si>
  <si>
    <t>LA PRESA | F | 13 |700m2</t>
  </si>
  <si>
    <t>14LA PRESA F</t>
  </si>
  <si>
    <t>LA PRESA | F | 14 |879.95m2</t>
  </si>
  <si>
    <t>2LA PRESA A</t>
  </si>
  <si>
    <t>LA PRESA | A | 2 |287.6m2</t>
  </si>
  <si>
    <t>1PEDRO ESCOBEDO A</t>
  </si>
  <si>
    <t>PEDRO ESCOBEDO | A | 1 |394.35m2</t>
  </si>
  <si>
    <t>2PEDRO ESCOBEDO A</t>
  </si>
  <si>
    <t>PEDRO ESCOBEDO | A | 2 |300m2</t>
  </si>
  <si>
    <t>3PEDRO ESCOBEDO A</t>
  </si>
  <si>
    <t>PEDRO ESCOBEDO | A | 3 |300m2</t>
  </si>
  <si>
    <t>4PEDRO ESCOBEDO A</t>
  </si>
  <si>
    <t>PEDRO ESCOBEDO | A | 4 |300m2</t>
  </si>
  <si>
    <t>5PEDRO ESCOBEDO A</t>
  </si>
  <si>
    <t>PEDRO ESCOBEDO | A | 5 |300m2</t>
  </si>
  <si>
    <t>6PEDRO ESCOBEDO A</t>
  </si>
  <si>
    <t>PEDRO ESCOBEDO | A | 6 |300m2</t>
  </si>
  <si>
    <t>13PEDRO ESCOBEDO A</t>
  </si>
  <si>
    <t>PEDRO ESCOBEDO | A | 13 |300m2</t>
  </si>
  <si>
    <t>14PEDRO ESCOBEDO A</t>
  </si>
  <si>
    <t>PEDRO ESCOBEDO | A | 14 |300m2</t>
  </si>
  <si>
    <t>15PEDRO ESCOBEDO A</t>
  </si>
  <si>
    <t>PEDRO ESCOBEDO | A | 15 |300m2</t>
  </si>
  <si>
    <t>16PEDRO ESCOBEDO A</t>
  </si>
  <si>
    <t>PEDRO ESCOBEDO | A | 16 |354.1m2</t>
  </si>
  <si>
    <t>2PEDRO ESCOBEDO B</t>
  </si>
  <si>
    <t>PEDRO ESCOBEDO | B | 2 |336m2</t>
  </si>
  <si>
    <t>3PEDRO ESCOBEDO B</t>
  </si>
  <si>
    <t>PEDRO ESCOBEDO | B | 3 |336m2</t>
  </si>
  <si>
    <t>4PEDRO ESCOBEDO B</t>
  </si>
  <si>
    <t>PEDRO ESCOBEDO | B | 4 |336m2</t>
  </si>
  <si>
    <t>5PEDRO ESCOBEDO B</t>
  </si>
  <si>
    <t>PEDRO ESCOBEDO | B | 5 |336m2</t>
  </si>
  <si>
    <t>6PEDRO ESCOBEDO B</t>
  </si>
  <si>
    <t>PEDRO ESCOBEDO | B | 6 |336m2</t>
  </si>
  <si>
    <t>7PEDRO ESCOBEDO B</t>
  </si>
  <si>
    <t>PEDRO ESCOBEDO | B | 7 |336m2</t>
  </si>
  <si>
    <t>13PEDRO ESCOBEDO B</t>
  </si>
  <si>
    <t>PEDRO ESCOBEDO | B | 13 |336m2</t>
  </si>
  <si>
    <t>14PEDRO ESCOBEDO B</t>
  </si>
  <si>
    <t>PEDRO ESCOBEDO | B | 14 |336m2</t>
  </si>
  <si>
    <t>15PEDRO ESCOBEDO B</t>
  </si>
  <si>
    <t>PEDRO ESCOBEDO | B | 15 |336m2</t>
  </si>
  <si>
    <t>1PEDRO ESCOBEDO C</t>
  </si>
  <si>
    <t>PEDRO ESCOBEDO | C | 1 |518.48m2</t>
  </si>
  <si>
    <t>2PEDRO ESCOBEDO C</t>
  </si>
  <si>
    <t>PEDRO ESCOBEDO | C | 2 |378m2</t>
  </si>
  <si>
    <t>10PEDRO ESCOBEDO C</t>
  </si>
  <si>
    <t>PEDRO ESCOBEDO | C | 10 |378m2</t>
  </si>
  <si>
    <t>11PEDRO ESCOBEDO C</t>
  </si>
  <si>
    <t>PEDRO ESCOBEDO | C | 11 |376m2</t>
  </si>
  <si>
    <t>12PEDRO ESCOBEDO C</t>
  </si>
  <si>
    <t>PEDRO ESCOBEDO | C | 12 |615.38m2</t>
  </si>
  <si>
    <t>1PEDRO ESCOBEDO D</t>
  </si>
  <si>
    <t>PEDRO ESCOBEDO | D | 1 |464.16m2</t>
  </si>
  <si>
    <t>2PEDRO ESCOBEDO D</t>
  </si>
  <si>
    <t>PEDRO ESCOBEDO | D | 2 |420m2</t>
  </si>
  <si>
    <t>3PEDRO ESCOBEDO D</t>
  </si>
  <si>
    <t>PEDRO ESCOBEDO | D | 3 |420m2</t>
  </si>
  <si>
    <t>4PEDRO ESCOBEDO D</t>
  </si>
  <si>
    <t>PEDRO ESCOBEDO | D | 4 |420m2</t>
  </si>
  <si>
    <t>5PEDRO ESCOBEDO D</t>
  </si>
  <si>
    <t>PEDRO ESCOBEDO | D | 5 |420m2</t>
  </si>
  <si>
    <t>6PEDRO ESCOBEDO D</t>
  </si>
  <si>
    <t>PEDRO ESCOBEDO | D | 6 |420m2</t>
  </si>
  <si>
    <t>7PEDRO ESCOBEDO D</t>
  </si>
  <si>
    <t>PEDRO ESCOBEDO | D | 7 |420m2</t>
  </si>
  <si>
    <t>1PEDRO ESCOBEDO E</t>
  </si>
  <si>
    <t>PEDRO ESCOBEDO | E | 1 |868.4m2</t>
  </si>
  <si>
    <t>2PEDRO ESCOBEDO E</t>
  </si>
  <si>
    <t>PEDRO ESCOBEDO | E | 2 |504m2</t>
  </si>
  <si>
    <t>3PEDRO ESCOBEDO E</t>
  </si>
  <si>
    <t>PEDRO ESCOBEDO | E | 3 |504m2</t>
  </si>
  <si>
    <t>4PEDRO ESCOBEDO E</t>
  </si>
  <si>
    <t>PEDRO ESCOBEDO | E | 4 |504m2</t>
  </si>
  <si>
    <t>5PEDRO ESCOBEDO E</t>
  </si>
  <si>
    <t>PEDRO ESCOBEDO | E | 5 |504m2</t>
  </si>
  <si>
    <t>10PEDRO ESCOBEDO E</t>
  </si>
  <si>
    <t>PEDRO ESCOBEDO | E | 10 |1002.35m2</t>
  </si>
  <si>
    <t>1PEDRO ESCOBEDO F</t>
  </si>
  <si>
    <t>PEDRO ESCOBEDO | F | 1 |815m2</t>
  </si>
  <si>
    <t>2PEDRO ESCOBEDO F</t>
  </si>
  <si>
    <t>PEDRO ESCOBEDO | F | 2 |602m2</t>
  </si>
  <si>
    <t>3PEDRO ESCOBEDO F</t>
  </si>
  <si>
    <t>PEDRO ESCOBEDO | F | 3 |602m2</t>
  </si>
  <si>
    <t>4PEDRO ESCOBEDO F</t>
  </si>
  <si>
    <t>PEDRO ESCOBEDO | F | 4 |602m2</t>
  </si>
  <si>
    <t>10PEDRO ESCOBEDO F</t>
  </si>
  <si>
    <t>PEDRO ESCOBEDO | F | 10 |1009.19m2</t>
  </si>
  <si>
    <t>2PEDRO ESCOBEDO G</t>
  </si>
  <si>
    <t>PEDRO ESCOBEDO | G | 2 |700m2</t>
  </si>
  <si>
    <t>3PEDRO ESCOBEDO G</t>
  </si>
  <si>
    <t>PEDRO ESCOBEDO | G | 3 |700m2</t>
  </si>
  <si>
    <t>4PEDRO ESCOBEDO G</t>
  </si>
  <si>
    <t>PEDRO ESCOBEDO | G | 4 |700m2</t>
  </si>
  <si>
    <t>9PEDRO ESCOBEDO G</t>
  </si>
  <si>
    <t>PEDRO ESCOBEDO | G | 9 |700m2</t>
  </si>
  <si>
    <t>10PEDRO ESCOBEDO G</t>
  </si>
  <si>
    <t>PEDRO ESCOBEDO | G | 10 |700m2</t>
  </si>
  <si>
    <t>11PEDRO ESCOBEDO G</t>
  </si>
  <si>
    <t>PEDRO ESCOBEDO | G | 11 |838.4m2</t>
  </si>
  <si>
    <t>8PEDRO ESCOBEDO A</t>
  </si>
  <si>
    <t>PEDRO ESCOBEDO | A | 8 |300m2</t>
  </si>
  <si>
    <t>9PEDRO ESCOBEDO A</t>
  </si>
  <si>
    <t>PEDRO ESCOBEDO | A | 9 |300m2</t>
  </si>
  <si>
    <t>10PEDRO ESCOBEDO A</t>
  </si>
  <si>
    <t>PEDRO ESCOBEDO | A | 10 |300m2</t>
  </si>
  <si>
    <t>1PEDRO ESCOBEDO B</t>
  </si>
  <si>
    <t>PEDRO ESCOBEDO | B | 1 |344.51m2</t>
  </si>
  <si>
    <t>5PEDRO ESCOBEDO C</t>
  </si>
  <si>
    <t>PEDRO ESCOBEDO | C | 5 |378m2</t>
  </si>
  <si>
    <t>6PEDRO ESCOBEDO C</t>
  </si>
  <si>
    <t>PEDRO ESCOBEDO | C | 6 |378m2</t>
  </si>
  <si>
    <t>8PEDRO ESCOBEDO D</t>
  </si>
  <si>
    <t>PEDRO ESCOBEDO | D | 8 |420m2</t>
  </si>
  <si>
    <t>9PEDRO ESCOBEDO D</t>
  </si>
  <si>
    <t>PEDRO ESCOBEDO | D | 9 |420m2</t>
  </si>
  <si>
    <t>10PEDRO ESCOBEDO D</t>
  </si>
  <si>
    <t>PEDRO ESCOBEDO | D | 10 |420m2</t>
  </si>
  <si>
    <t>8PEDRO ESCOBEDO E</t>
  </si>
  <si>
    <t>PEDRO ESCOBEDO | E | 8 |504m2</t>
  </si>
  <si>
    <t>9PEDRO ESCOBEDO E</t>
  </si>
  <si>
    <t>PEDRO ESCOBEDO | E | 9 |504m2</t>
  </si>
  <si>
    <t>5PEDRO ESCOBEDO F</t>
  </si>
  <si>
    <t>PEDRO ESCOBEDO | F | 5 |602m2</t>
  </si>
  <si>
    <t>6PEDRO ESCOBEDO F</t>
  </si>
  <si>
    <t>PEDRO ESCOBEDO | F | 6 |602m2</t>
  </si>
  <si>
    <t>8PEDRO ESCOBEDO F</t>
  </si>
  <si>
    <t>PEDRO ESCOBEDO | F | 8 |602m2</t>
  </si>
  <si>
    <t>9PEDRO ESCOBEDO F</t>
  </si>
  <si>
    <t>PEDRO ESCOBEDO | F | 9 |602m2</t>
  </si>
  <si>
    <t>5PEDRO ESCOBEDO G</t>
  </si>
  <si>
    <t>PEDRO ESCOBEDO | G | 5 |700m2</t>
  </si>
  <si>
    <t>7PEDRO ESCOBEDO A</t>
  </si>
  <si>
    <t>PEDRO ESCOBEDO | A | 7 |300m2</t>
  </si>
  <si>
    <t>11PEDRO ESCOBEDO A</t>
  </si>
  <si>
    <t>PEDRO ESCOBEDO | A | 11 |300m2</t>
  </si>
  <si>
    <t>12PEDRO ESCOBEDO A</t>
  </si>
  <si>
    <t>PEDRO ESCOBEDO | A | 12 |300m2</t>
  </si>
  <si>
    <t>8PEDRO ESCOBEDO B</t>
  </si>
  <si>
    <t>PEDRO ESCOBEDO | B | 8 |336m2</t>
  </si>
  <si>
    <t>9PEDRO ESCOBEDO B</t>
  </si>
  <si>
    <t>PEDRO ESCOBEDO | B | 9 |336m2</t>
  </si>
  <si>
    <t>10PEDRO ESCOBEDO B</t>
  </si>
  <si>
    <t>PEDRO ESCOBEDO | B | 10 |336m2</t>
  </si>
  <si>
    <t>11PEDRO ESCOBEDO B</t>
  </si>
  <si>
    <t>PEDRO ESCOBEDO | B | 11 |336m2</t>
  </si>
  <si>
    <t>12PEDRO ESCOBEDO B</t>
  </si>
  <si>
    <t>PEDRO ESCOBEDO | B | 12 |336m2</t>
  </si>
  <si>
    <t>3PEDRO ESCOBEDO C</t>
  </si>
  <si>
    <t>PEDRO ESCOBEDO | C | 3 |378m2</t>
  </si>
  <si>
    <t>4PEDRO ESCOBEDO C</t>
  </si>
  <si>
    <t>PEDRO ESCOBEDO | C | 4 |378m2</t>
  </si>
  <si>
    <t>7PEDRO ESCOBEDO C</t>
  </si>
  <si>
    <t>PEDRO ESCOBEDO | C | 7 |378m2</t>
  </si>
  <si>
    <t>8PEDRO ESCOBEDO C</t>
  </si>
  <si>
    <t>PEDRO ESCOBEDO | C | 8 |378m2</t>
  </si>
  <si>
    <t>11PEDRO ESCOBEDO D</t>
  </si>
  <si>
    <t>PEDRO ESCOBEDO | D | 11 |420m2</t>
  </si>
  <si>
    <t>12PEDRO ESCOBEDO D</t>
  </si>
  <si>
    <t>PEDRO ESCOBEDO | D | 12 |589.09m2</t>
  </si>
  <si>
    <t>6PEDRO ESCOBEDO E</t>
  </si>
  <si>
    <t>PEDRO ESCOBEDO | E | 6 |504m2</t>
  </si>
  <si>
    <t>6PEDRO ESCOBEDO G</t>
  </si>
  <si>
    <t>PEDRO ESCOBEDO | G | 6 |700m2</t>
  </si>
  <si>
    <t>7PEDRO ESCOBEDO E</t>
  </si>
  <si>
    <t>PEDRO ESCOBEDO | E | 7 |504m2</t>
  </si>
  <si>
    <t>7PEDRO ESCOBEDO F</t>
  </si>
  <si>
    <t>PEDRO ESCOBEDO | F | 7 |602m2</t>
  </si>
  <si>
    <t>7PEDRO ESCOBEDO G</t>
  </si>
  <si>
    <t>PEDRO ESCOBEDO | G | 7 |700m2</t>
  </si>
  <si>
    <t>16PEDRO ESCOBEDO B</t>
  </si>
  <si>
    <t>PEDRO ESCOBEDO | B | 16 |314.44m2</t>
  </si>
  <si>
    <t>9PEDRO ESCOBEDO C</t>
  </si>
  <si>
    <t>PEDRO ESCOBEDO | C | 9 |378m2</t>
  </si>
  <si>
    <t>1PEDRO ESCOBEDO G</t>
  </si>
  <si>
    <t>PEDRO ESCOBEDO | G | 1 |838.68m2</t>
  </si>
  <si>
    <t>8PEDRO ESCOBEDO G</t>
  </si>
  <si>
    <t>PEDRO ESCOBEDO | G | 8 |700m2</t>
  </si>
  <si>
    <t>1SLP C</t>
  </si>
  <si>
    <t>SLP | C | 1 |1177.337m2</t>
  </si>
  <si>
    <t>1SLP D</t>
  </si>
  <si>
    <t>SLP | D | 1 |831.376m2</t>
  </si>
  <si>
    <t>2SLP E</t>
  </si>
  <si>
    <t>SLP | E | 2 |406m2</t>
  </si>
  <si>
    <t>1SLP F</t>
  </si>
  <si>
    <t>SLP | F | 1 |985.36m2</t>
  </si>
  <si>
    <t>10SLP H</t>
  </si>
  <si>
    <t>SLP | H | 10 |331.21m2</t>
  </si>
  <si>
    <t>5SLP I</t>
  </si>
  <si>
    <t>SLP | I | 5 |700m2</t>
  </si>
  <si>
    <t>4SLP A</t>
  </si>
  <si>
    <t>SLP | A | 4 |569.8m2</t>
  </si>
  <si>
    <t>15SLP B</t>
  </si>
  <si>
    <t>SLP | B | 15 |300m2</t>
  </si>
  <si>
    <t>2SLP D</t>
  </si>
  <si>
    <t>SLP | D | 2 |484.12m2</t>
  </si>
  <si>
    <t>2SLP C</t>
  </si>
  <si>
    <t>SLP | C | 2 |569.8m2</t>
  </si>
  <si>
    <t>1SLP A</t>
  </si>
  <si>
    <t>SLP | A | 1 |569.8m2</t>
  </si>
  <si>
    <t>2SLP A</t>
  </si>
  <si>
    <t>SLP | A | 2 |569.8m2</t>
  </si>
  <si>
    <t>3SLP A</t>
  </si>
  <si>
    <t>SLP | A | 3 |569.8m2</t>
  </si>
  <si>
    <t>5SLP A</t>
  </si>
  <si>
    <t>SLP | A | 5 |569.8m2</t>
  </si>
  <si>
    <t>6SLP A</t>
  </si>
  <si>
    <t>SLP | A | 6 |569.8m2</t>
  </si>
  <si>
    <t>7SLP A</t>
  </si>
  <si>
    <t>SLP | A | 7 |569.8m2</t>
  </si>
  <si>
    <t>8SLP A</t>
  </si>
  <si>
    <t>SLP | A | 8 |569.8m2</t>
  </si>
  <si>
    <t>9SLP A</t>
  </si>
  <si>
    <t>SLP | A | 9 |569.8m2</t>
  </si>
  <si>
    <t>10SLP A</t>
  </si>
  <si>
    <t>SLP | A | 10 |569.8m2</t>
  </si>
  <si>
    <t>11SLP A</t>
  </si>
  <si>
    <t>SLP | A | 11 |569.8m2</t>
  </si>
  <si>
    <t>12SLP A</t>
  </si>
  <si>
    <t>SLP | A | 12 |569.8m2</t>
  </si>
  <si>
    <t>13SLP A</t>
  </si>
  <si>
    <t>SLP | A | 13 |569.8m2</t>
  </si>
  <si>
    <t>14SLP A</t>
  </si>
  <si>
    <t>SLP | A | 14 |569.8m2</t>
  </si>
  <si>
    <t>15SLP A</t>
  </si>
  <si>
    <t>SLP | A | 15 |569.8m2</t>
  </si>
  <si>
    <t>16SLP A</t>
  </si>
  <si>
    <t>SLP | A | 16 |569.34m2</t>
  </si>
  <si>
    <t>17SLP A</t>
  </si>
  <si>
    <t>SLP | A | 17 |568.32m2</t>
  </si>
  <si>
    <t>18SLP A</t>
  </si>
  <si>
    <t>SLP | A | 18 |567.299m2</t>
  </si>
  <si>
    <t>19SLP A</t>
  </si>
  <si>
    <t>SLP | A | 19 |566.271m2</t>
  </si>
  <si>
    <t>20SLP A</t>
  </si>
  <si>
    <t>SLP | A | 20 |565.232m2</t>
  </si>
  <si>
    <t>21SLP A</t>
  </si>
  <si>
    <t>SLP | A | 21 |960.739m2</t>
  </si>
  <si>
    <t>22SLP A</t>
  </si>
  <si>
    <t>SLP | A | 22 |931.757m2</t>
  </si>
  <si>
    <t>23SLP A</t>
  </si>
  <si>
    <t>SLP | A | 23 |533.645m2</t>
  </si>
  <si>
    <t>24SLP A</t>
  </si>
  <si>
    <t>SLP | A | 24 |913.895m2</t>
  </si>
  <si>
    <t>3SLP B</t>
  </si>
  <si>
    <t>SLP | B | 3 |300m2</t>
  </si>
  <si>
    <t>1SLP B</t>
  </si>
  <si>
    <t>SLP | B | 1 |300m2</t>
  </si>
  <si>
    <t>2SLP B</t>
  </si>
  <si>
    <t>SLP | B | 2 |300m2</t>
  </si>
  <si>
    <t>4SLP B</t>
  </si>
  <si>
    <t>SLP | B | 4 |300m2</t>
  </si>
  <si>
    <t>5SLP B</t>
  </si>
  <si>
    <t>SLP | B | 5 |300m2</t>
  </si>
  <si>
    <t>6SLP B</t>
  </si>
  <si>
    <t>SLP | B | 6 |300m2</t>
  </si>
  <si>
    <t>7SLP B</t>
  </si>
  <si>
    <t>SLP | B | 7 |300m2</t>
  </si>
  <si>
    <t>8SLP B</t>
  </si>
  <si>
    <t>SLP | B | 8 |300m2</t>
  </si>
  <si>
    <t>9SLP B</t>
  </si>
  <si>
    <t>SLP | B | 9 |300m2</t>
  </si>
  <si>
    <t>10SLP B</t>
  </si>
  <si>
    <t>SLP | B | 10 |300m2</t>
  </si>
  <si>
    <t>11SLP B</t>
  </si>
  <si>
    <t>SLP | B | 11 |300m2</t>
  </si>
  <si>
    <t>12SLP B</t>
  </si>
  <si>
    <t>SLP | B | 12 |300m2</t>
  </si>
  <si>
    <t>13SLP B</t>
  </si>
  <si>
    <t>SLP | B | 13 |300m2</t>
  </si>
  <si>
    <t>14SLP B</t>
  </si>
  <si>
    <t>SLP | B | 14 |300m2</t>
  </si>
  <si>
    <t>16SLP B</t>
  </si>
  <si>
    <t>SLP | B | 16 |364.033m2</t>
  </si>
  <si>
    <t>3SLP C</t>
  </si>
  <si>
    <t>SLP | C | 3 |569.8m2</t>
  </si>
  <si>
    <t>4SLP C</t>
  </si>
  <si>
    <t>SLP | C | 4 |569.8m2</t>
  </si>
  <si>
    <t>5SLP C</t>
  </si>
  <si>
    <t>SLP | C | 5 |569.8m2</t>
  </si>
  <si>
    <t>6SLP C</t>
  </si>
  <si>
    <t>SLP | C | 6 |569.8m2</t>
  </si>
  <si>
    <t>7SLP C</t>
  </si>
  <si>
    <t>SLP | C | 7 |569.8m2</t>
  </si>
  <si>
    <t>8SLP C</t>
  </si>
  <si>
    <t>SLP | C | 8 |569.8m2</t>
  </si>
  <si>
    <t>9SLP C</t>
  </si>
  <si>
    <t>SLP | C | 9 |569.8m2</t>
  </si>
  <si>
    <t>10SLP C</t>
  </si>
  <si>
    <t>SLP | C | 10 |569.8m2</t>
  </si>
  <si>
    <t>11SLP C</t>
  </si>
  <si>
    <t>SLP | C | 11 |569.8m2</t>
  </si>
  <si>
    <t>12SLP C</t>
  </si>
  <si>
    <t>SLP | C | 12 |576.421m2</t>
  </si>
  <si>
    <t>3SLP D</t>
  </si>
  <si>
    <t>SLP | D | 3 |484.12m2</t>
  </si>
  <si>
    <t>4SLP D</t>
  </si>
  <si>
    <t>SLP | D | 4 |484.12m2</t>
  </si>
  <si>
    <t>5SLP D</t>
  </si>
  <si>
    <t>SLP | D | 5 |484.12m2</t>
  </si>
  <si>
    <t>6SLP D</t>
  </si>
  <si>
    <t>SLP | D | 6 |484.12m2</t>
  </si>
  <si>
    <t>7SLP D</t>
  </si>
  <si>
    <t>SLP | D | 7 |484.12m2</t>
  </si>
  <si>
    <t>8SLP D</t>
  </si>
  <si>
    <t>SLP | D | 8 |484.12m2</t>
  </si>
  <si>
    <t>9SLP D</t>
  </si>
  <si>
    <t>SLP | D | 9 |484.12m2</t>
  </si>
  <si>
    <t>10SLP D</t>
  </si>
  <si>
    <t>SLP | D | 10 |484.12m2</t>
  </si>
  <si>
    <t>11SLP D</t>
  </si>
  <si>
    <t>SLP | D | 11 |500.149m2</t>
  </si>
  <si>
    <t>1SLP E</t>
  </si>
  <si>
    <t>SLP | E | 1 |803.168m2</t>
  </si>
  <si>
    <t>3SLP E</t>
  </si>
  <si>
    <t>SLP | E | 3 |406m2</t>
  </si>
  <si>
    <t>4SLP E</t>
  </si>
  <si>
    <t>SLP | E | 4 |406m2</t>
  </si>
  <si>
    <t>5SLP E</t>
  </si>
  <si>
    <t>SLP | E | 5 |406m2</t>
  </si>
  <si>
    <t>6SLP E</t>
  </si>
  <si>
    <t>SLP | E | 6 |406m2</t>
  </si>
  <si>
    <t>7SLP E</t>
  </si>
  <si>
    <t>SLP | E | 7 |406m2</t>
  </si>
  <si>
    <t>8SLP E</t>
  </si>
  <si>
    <t>SLP | E | 8 |406m2</t>
  </si>
  <si>
    <t>9SLP E</t>
  </si>
  <si>
    <t>SLP | E | 9 |469.858m2</t>
  </si>
  <si>
    <t>2SLP F</t>
  </si>
  <si>
    <t>SLP | F | 2 |569.8m2</t>
  </si>
  <si>
    <t>3SLP F</t>
  </si>
  <si>
    <t>SLP | F | 3 |569.8m2</t>
  </si>
  <si>
    <t>4SLP F</t>
  </si>
  <si>
    <t>SLP | F | 4 |569.8m2</t>
  </si>
  <si>
    <t>5SLP F</t>
  </si>
  <si>
    <t>SLP | F | 5 |569.8m2</t>
  </si>
  <si>
    <t>6SLP F</t>
  </si>
  <si>
    <t>SLP | F | 6 |569.8m2</t>
  </si>
  <si>
    <t>7SLP F</t>
  </si>
  <si>
    <t>SLP | F | 7 |569.8m2</t>
  </si>
  <si>
    <t>8SLP F</t>
  </si>
  <si>
    <t>SLP | F | 8 |670.76m2</t>
  </si>
  <si>
    <t>1SLP G</t>
  </si>
  <si>
    <t>SLP | G | 1 |1175.029m2</t>
  </si>
  <si>
    <t>2SLP G</t>
  </si>
  <si>
    <t>SLP | G | 2 |504m2</t>
  </si>
  <si>
    <t>3SLP G</t>
  </si>
  <si>
    <t>SLP | G | 3 |504m2</t>
  </si>
  <si>
    <t>4SLP G</t>
  </si>
  <si>
    <t>SLP | G | 4 |504m2</t>
  </si>
  <si>
    <t>5SLP G</t>
  </si>
  <si>
    <t>SLP | G | 5 |504m2</t>
  </si>
  <si>
    <t>6SLP G</t>
  </si>
  <si>
    <t>SLP | G | 6 |504m2</t>
  </si>
  <si>
    <t>7SLP G</t>
  </si>
  <si>
    <t>SLP | G | 7 |504m2</t>
  </si>
  <si>
    <t>8SLP G</t>
  </si>
  <si>
    <t>SLP | G | 8 |504m2</t>
  </si>
  <si>
    <t>9SLP G</t>
  </si>
  <si>
    <t>SLP | G | 9 |504m2</t>
  </si>
  <si>
    <t>10SLP G</t>
  </si>
  <si>
    <t>SLP | G | 10 |504m2</t>
  </si>
  <si>
    <t>11SLP G</t>
  </si>
  <si>
    <t>SLP | G | 11 |504m2</t>
  </si>
  <si>
    <t>12SLP G</t>
  </si>
  <si>
    <t>SLP | G | 12 |504m2</t>
  </si>
  <si>
    <t>13SLP G</t>
  </si>
  <si>
    <t>SLP | G | 13 |504m2</t>
  </si>
  <si>
    <t>14SLP G</t>
  </si>
  <si>
    <t>SLP | G | 14 |507.69m2</t>
  </si>
  <si>
    <t>1SLP H</t>
  </si>
  <si>
    <t>SLP | H | 1 |960.04m2</t>
  </si>
  <si>
    <t>2SLP H</t>
  </si>
  <si>
    <t>SLP | H | 2 |588m2</t>
  </si>
  <si>
    <t>3SLP H</t>
  </si>
  <si>
    <t>SLP | H | 3 |588m2</t>
  </si>
  <si>
    <t>4SLP H</t>
  </si>
  <si>
    <t>SLP | H | 4 |588m2</t>
  </si>
  <si>
    <t>5SLP H</t>
  </si>
  <si>
    <t>SLP | H | 5 |588m2</t>
  </si>
  <si>
    <t>6SLP H</t>
  </si>
  <si>
    <t>SLP | H | 6 |587.768m2</t>
  </si>
  <si>
    <t>7SLP H</t>
  </si>
  <si>
    <t>SLP | H | 7 |546.372m2</t>
  </si>
  <si>
    <t>8SLP H</t>
  </si>
  <si>
    <t>SLP | H | 8 |474.653m2</t>
  </si>
  <si>
    <t>9SLP H</t>
  </si>
  <si>
    <t>SLP | H | 9 |402.934m2</t>
  </si>
  <si>
    <t>1SLP I</t>
  </si>
  <si>
    <t>SLP | I | 1 |767.943m2</t>
  </si>
  <si>
    <t>2SLP I</t>
  </si>
  <si>
    <t>SLP | I | 2 |700m2</t>
  </si>
  <si>
    <t>3SLP I</t>
  </si>
  <si>
    <t>SLP | I | 3 |700m2</t>
  </si>
  <si>
    <t>4SLP I</t>
  </si>
  <si>
    <t>SLP | I | 4 |700m2</t>
  </si>
  <si>
    <t>6SLP I</t>
  </si>
  <si>
    <t>SLP | I | 6 |700m2</t>
  </si>
  <si>
    <t>7SLP I</t>
  </si>
  <si>
    <t>SLP | I | 7 |700m2</t>
  </si>
  <si>
    <t>8SLP I</t>
  </si>
  <si>
    <t>SLP | I | 8 |700m2</t>
  </si>
  <si>
    <t>9SLP I</t>
  </si>
  <si>
    <t>SLP | I | 9 |700m2</t>
  </si>
  <si>
    <t>10SLP I</t>
  </si>
  <si>
    <t>SLP | I | 10 |700m2</t>
  </si>
  <si>
    <t>11SLP I</t>
  </si>
  <si>
    <t>SLP | I | 11 |1174.029m2</t>
  </si>
  <si>
    <t>1STA ROSA A</t>
  </si>
  <si>
    <t>STA ROSA | A | 1 |569.8m2</t>
  </si>
  <si>
    <t>2STA ROSA A</t>
  </si>
  <si>
    <t>STA ROSA | A | 2 |569.8m2</t>
  </si>
  <si>
    <t>3STA ROSA A</t>
  </si>
  <si>
    <t>STA ROSA | A | 3 |569.8m2</t>
  </si>
  <si>
    <t>4STA ROSA A</t>
  </si>
  <si>
    <t>STA ROSA | A | 4 |569.8m2</t>
  </si>
  <si>
    <t>5STA ROSA A</t>
  </si>
  <si>
    <t>STA ROSA | A | 5 |569.8m2</t>
  </si>
  <si>
    <t>6STA ROSA A</t>
  </si>
  <si>
    <t>STA ROSA | A | 6 |569.8m2</t>
  </si>
  <si>
    <t>1STA ROSA B</t>
  </si>
  <si>
    <t>STA ROSA | B | 1 |551.027m2</t>
  </si>
  <si>
    <t>2STA ROSA B</t>
  </si>
  <si>
    <t>STA ROSA | B | 2 |597.8m2</t>
  </si>
  <si>
    <t>3STA ROSA B</t>
  </si>
  <si>
    <t>STA ROSA | B | 3 |597.8m2</t>
  </si>
  <si>
    <t>4STA ROSA B</t>
  </si>
  <si>
    <t>STA ROSA | B | 4 |597.8m2</t>
  </si>
  <si>
    <t>5STA ROSA B</t>
  </si>
  <si>
    <t>STA ROSA | B | 5 |597.8m2</t>
  </si>
  <si>
    <t>1STA ROSA C</t>
  </si>
  <si>
    <t>STA ROSA | C | 1 |569.8m2</t>
  </si>
  <si>
    <t>2STA ROSA C</t>
  </si>
  <si>
    <t>STA ROSA | C | 2 |569.8m2</t>
  </si>
  <si>
    <t>3STA ROSA C</t>
  </si>
  <si>
    <t>STA ROSA | C | 3 |569.8m2</t>
  </si>
  <si>
    <t>4STA ROSA C</t>
  </si>
  <si>
    <t>STA ROSA | C | 4 |569.8m2</t>
  </si>
  <si>
    <t>5STA ROSA C</t>
  </si>
  <si>
    <t>STA ROSA | C | 5 |569.8m2</t>
  </si>
  <si>
    <t>6STA ROSA C</t>
  </si>
  <si>
    <t>STA ROSA | C | 6 |569.8m2</t>
  </si>
  <si>
    <t>1STA ROSA D</t>
  </si>
  <si>
    <t>STA ROSA | D | 1 |569.8m2</t>
  </si>
  <si>
    <t>2STA ROSA D</t>
  </si>
  <si>
    <t>STA ROSA | D | 2 |569.8m2</t>
  </si>
  <si>
    <t>3STA ROSA D</t>
  </si>
  <si>
    <t>STA ROSA | D | 3 |569.8m2</t>
  </si>
  <si>
    <t>4STA ROSA D</t>
  </si>
  <si>
    <t>STA ROSA | D | 4 |569.8m2</t>
  </si>
  <si>
    <t>5STA ROSA D</t>
  </si>
  <si>
    <t>STA ROSA | D | 5 |569.8m2</t>
  </si>
  <si>
    <t>6STA ROSA D</t>
  </si>
  <si>
    <t>STA ROSA | D | 6 |569.8m2</t>
  </si>
  <si>
    <t>1STA ROSA E</t>
  </si>
  <si>
    <t>STA ROSA | E | 1 |597.8m2</t>
  </si>
  <si>
    <t>2STA ROSA E</t>
  </si>
  <si>
    <t>STA ROSA | E | 2 |597.8m2</t>
  </si>
  <si>
    <t>3STA ROSA E</t>
  </si>
  <si>
    <t>STA ROSA | E | 3 |597.8m2</t>
  </si>
  <si>
    <t>4STA ROSA E</t>
  </si>
  <si>
    <t>STA ROSA | E | 4 |1030.8m2</t>
  </si>
  <si>
    <t>1STA ROSA F</t>
  </si>
  <si>
    <t>STA ROSA | F | 1 |569.8m2</t>
  </si>
  <si>
    <t>2STA ROSA F</t>
  </si>
  <si>
    <t>STA ROSA | F | 2 |569.8m2</t>
  </si>
  <si>
    <t>3STA ROSA F</t>
  </si>
  <si>
    <t>STA ROSA | F | 3 |569.8m2</t>
  </si>
  <si>
    <t>4STA ROSA F</t>
  </si>
  <si>
    <t>STA ROSA | F | 4 |569.8m2</t>
  </si>
  <si>
    <t>5STA ROSA F</t>
  </si>
  <si>
    <t>STA ROSA | F | 5 |569.8m2</t>
  </si>
  <si>
    <t>6STA ROSA F</t>
  </si>
  <si>
    <t>STA ROSA | F | 6 |900.92m2</t>
  </si>
  <si>
    <t>7STA ROSA F</t>
  </si>
  <si>
    <t>STA ROSA | F | 7 |761.03m2</t>
  </si>
  <si>
    <t>8STA ROSA F</t>
  </si>
  <si>
    <t>STA ROSA | F | 8 |621.2m2</t>
  </si>
  <si>
    <t>9STA ROSA F</t>
  </si>
  <si>
    <t>STA ROSA | F | 9 |480.61m2</t>
  </si>
  <si>
    <t>10STA ROSA F</t>
  </si>
  <si>
    <t>STA ROSA | F | 10 |412.85m2</t>
  </si>
  <si>
    <t>1STA ROSA G</t>
  </si>
  <si>
    <t>STA ROSA | G | 1 |569.8m2</t>
  </si>
  <si>
    <t>2STA ROSA G</t>
  </si>
  <si>
    <t>STA ROSA | G | 2 |569.8m2</t>
  </si>
  <si>
    <t>3STA ROSA G</t>
  </si>
  <si>
    <t>STA ROSA | G | 3 |569.8m2</t>
  </si>
  <si>
    <t>4STA ROSA G</t>
  </si>
  <si>
    <t>STA ROSA | G | 4 |569.8m2</t>
  </si>
  <si>
    <t>5STA ROSA G</t>
  </si>
  <si>
    <t>STA ROSA | G | 5 |569.8m2</t>
  </si>
  <si>
    <t>6STA ROSA G</t>
  </si>
  <si>
    <t>STA ROSA | G | 6 |569.8m2</t>
  </si>
  <si>
    <t>7STA ROSA G</t>
  </si>
  <si>
    <t>STA ROSA | G | 7 |569.8m2</t>
  </si>
  <si>
    <t>8STA ROSA G</t>
  </si>
  <si>
    <t>STA ROSA | G | 8 |949.99m2</t>
  </si>
  <si>
    <t>9STA ROSA G</t>
  </si>
  <si>
    <t>STA ROSA | G | 9 |741.43m2</t>
  </si>
  <si>
    <t>10STA ROSA G</t>
  </si>
  <si>
    <t>STA ROSA | G | 10 |532.05m2</t>
  </si>
  <si>
    <t>1STA ROSA H</t>
  </si>
  <si>
    <t>STA ROSA | H | 1 |569.8m2</t>
  </si>
  <si>
    <t>2STA ROSA H</t>
  </si>
  <si>
    <t>STA ROSA | H | 2 |569.8m2</t>
  </si>
  <si>
    <t>3STA ROSA H</t>
  </si>
  <si>
    <t>STA ROSA | H | 3 |569.8m2</t>
  </si>
  <si>
    <t>4STA ROSA H</t>
  </si>
  <si>
    <t>STA ROSA | H | 4 |569.8m2</t>
  </si>
  <si>
    <t>5STA ROSA H</t>
  </si>
  <si>
    <t>STA ROSA | H | 5 |569.8m2</t>
  </si>
  <si>
    <t>6STA ROSA H</t>
  </si>
  <si>
    <t>STA ROSA | H | 6 |569.8m2</t>
  </si>
  <si>
    <t>7STA ROSA H</t>
  </si>
  <si>
    <t>STA ROSA | H | 7 |576.8m2</t>
  </si>
  <si>
    <t>1STA ROSA I</t>
  </si>
  <si>
    <t>STA ROSA | I | 1 |396.35m2</t>
  </si>
  <si>
    <t>2STA ROSA I</t>
  </si>
  <si>
    <t>STA ROSA | I | 2 |542.36m2</t>
  </si>
  <si>
    <t>3STA ROSA I</t>
  </si>
  <si>
    <t>STA ROSA | I | 3 |677.45m2</t>
  </si>
  <si>
    <t>4STA ROSA I</t>
  </si>
  <si>
    <t>STA ROSA | I | 4 |811.5m2</t>
  </si>
  <si>
    <t>5STA ROSA I</t>
  </si>
  <si>
    <t>STA ROSA | I | 5 |813.36m2</t>
  </si>
  <si>
    <t>6STA ROSA I</t>
  </si>
  <si>
    <t>STA ROSA | I | 6 |604.75m2</t>
  </si>
  <si>
    <t>7STA ROSA I</t>
  </si>
  <si>
    <t>STA ROSA | I | 7 |396.36m2</t>
  </si>
  <si>
    <t>LLAVE</t>
  </si>
  <si>
    <t>DESCRIPCION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</si>
</sst>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.00\ &quot;días&quot;"/>
    <numFmt numFmtId="165" formatCode="&quot;$&quot;#,##0.00"/>
    <numFmt numFmtId="166" formatCode="0.0%\ &quot;Pagada&quot;"/>
    <numFmt numFmtId="167" formatCode="0.0%"/>
    <numFmt numFmtId="168" formatCode="[$-F800]dddd\,\ mmmm\ dd\,\ yyyy"/>
  </numFmts>
  <fonts count="2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6"/>
      <name val="Calibri"/>
      <family val="2"/>
      <scheme val="minor"/>
    </font>
    <font>
      <b/>
      <u/>
      <sz val="20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rgb="FF000000"/>
      <name val="Calibri"/>
      <family val="2"/>
    </font>
    <font>
      <sz val="12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6"/>
      <color theme="1"/>
      <name val="Calibri"/>
      <family val="2"/>
      <scheme val="minor"/>
    </font>
    <font>
      <sz val="10"/>
      <color theme="1"/>
      <name val="Wingdings"/>
      <charset val="2"/>
    </font>
    <font>
      <b/>
      <sz val="22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u/>
      <sz val="11"/>
      <color rgb="FFFF000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FFFF00"/>
        <bgColor indexed="64"/>
      </patternFill>
    </fill>
  </fills>
  <borders count="11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7">
    <xf numFmtId="0" fontId="0" fillId="0" borderId="0"/>
    <xf numFmtId="0" fontId="4" fillId="0" borderId="0"/>
    <xf numFmtId="9" fontId="4" fillId="0" borderId="0" applyFont="0" applyFill="0" applyBorder="0" applyAlignment="0" applyProtection="0"/>
    <xf numFmtId="0" fontId="13" fillId="0" borderId="0"/>
    <xf numFmtId="0" fontId="15" fillId="0" borderId="0"/>
    <xf numFmtId="9" fontId="15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73">
    <xf numFmtId="0" fontId="0" fillId="0" borderId="0" xfId="0"/>
    <xf numFmtId="0" fontId="4" fillId="2" borderId="0" xfId="1" applyFill="1"/>
    <xf numFmtId="0" fontId="4" fillId="2" borderId="0" xfId="1" applyFill="1" applyAlignment="1">
      <alignment vertical="top"/>
    </xf>
    <xf numFmtId="0" fontId="5" fillId="2" borderId="0" xfId="1" applyFont="1" applyFill="1" applyAlignment="1">
      <alignment horizontal="left" vertical="center"/>
    </xf>
    <xf numFmtId="0" fontId="6" fillId="2" borderId="0" xfId="1" applyFont="1" applyFill="1" applyAlignment="1">
      <alignment horizontal="left" vertical="center"/>
    </xf>
    <xf numFmtId="164" fontId="4" fillId="2" borderId="0" xfId="1" applyNumberFormat="1" applyFill="1" applyAlignment="1">
      <alignment horizontal="center" vertical="top"/>
    </xf>
    <xf numFmtId="0" fontId="8" fillId="2" borderId="0" xfId="1" applyFont="1" applyFill="1"/>
    <xf numFmtId="0" fontId="9" fillId="2" borderId="0" xfId="1" applyFont="1" applyFill="1"/>
    <xf numFmtId="0" fontId="5" fillId="2" borderId="0" xfId="1" applyFont="1" applyFill="1" applyAlignment="1">
      <alignment vertical="top"/>
    </xf>
    <xf numFmtId="0" fontId="5" fillId="2" borderId="0" xfId="1" applyFont="1" applyFill="1"/>
    <xf numFmtId="0" fontId="4" fillId="2" borderId="0" xfId="1" applyFill="1" applyAlignment="1">
      <alignment horizontal="right"/>
    </xf>
    <xf numFmtId="165" fontId="4" fillId="2" borderId="0" xfId="1" applyNumberFormat="1" applyFill="1" applyAlignment="1">
      <alignment vertical="top"/>
    </xf>
    <xf numFmtId="165" fontId="4" fillId="2" borderId="0" xfId="1" applyNumberFormat="1" applyFill="1"/>
    <xf numFmtId="165" fontId="4" fillId="2" borderId="0" xfId="1" applyNumberFormat="1" applyFill="1" applyAlignment="1">
      <alignment horizontal="right"/>
    </xf>
    <xf numFmtId="166" fontId="5" fillId="2" borderId="0" xfId="2" applyNumberFormat="1" applyFont="1" applyFill="1" applyAlignment="1">
      <alignment horizontal="left"/>
    </xf>
    <xf numFmtId="0" fontId="4" fillId="2" borderId="0" xfId="1" applyFill="1" applyAlignment="1">
      <alignment horizontal="right" vertical="top"/>
    </xf>
    <xf numFmtId="0" fontId="5" fillId="2" borderId="0" xfId="1" applyFont="1" applyFill="1" applyAlignment="1">
      <alignment horizontal="left"/>
    </xf>
    <xf numFmtId="165" fontId="0" fillId="2" borderId="0" xfId="0" applyNumberFormat="1" applyFill="1"/>
    <xf numFmtId="10" fontId="8" fillId="2" borderId="0" xfId="1" applyNumberFormat="1" applyFont="1" applyFill="1" applyAlignment="1">
      <alignment horizontal="center" vertical="center"/>
    </xf>
    <xf numFmtId="165" fontId="16" fillId="2" borderId="0" xfId="1" applyNumberFormat="1" applyFont="1" applyFill="1" applyAlignment="1">
      <alignment horizontal="center" vertical="center"/>
    </xf>
    <xf numFmtId="0" fontId="9" fillId="2" borderId="0" xfId="1" applyFont="1" applyFill="1" applyAlignment="1">
      <alignment horizontal="right" vertical="center"/>
    </xf>
    <xf numFmtId="165" fontId="16" fillId="2" borderId="0" xfId="1" applyNumberFormat="1" applyFont="1" applyFill="1" applyAlignment="1">
      <alignment horizontal="left" vertical="center"/>
    </xf>
    <xf numFmtId="0" fontId="17" fillId="2" borderId="0" xfId="1" applyFont="1" applyFill="1" applyAlignment="1">
      <alignment horizontal="left" vertical="center"/>
    </xf>
    <xf numFmtId="0" fontId="17" fillId="2" borderId="0" xfId="1" applyFont="1" applyFill="1" applyAlignment="1">
      <alignment horizontal="left" vertical="center" indent="13"/>
    </xf>
    <xf numFmtId="0" fontId="18" fillId="2" borderId="1" xfId="1" applyFont="1" applyFill="1" applyBorder="1" applyAlignment="1">
      <alignment vertical="center"/>
    </xf>
    <xf numFmtId="10" fontId="3" fillId="2" borderId="0" xfId="1" applyNumberFormat="1" applyFont="1" applyFill="1" applyAlignment="1">
      <alignment horizontal="center"/>
    </xf>
    <xf numFmtId="165" fontId="20" fillId="2" borderId="0" xfId="1" applyNumberFormat="1" applyFont="1" applyFill="1" applyAlignment="1">
      <alignment horizontal="left"/>
    </xf>
    <xf numFmtId="165" fontId="21" fillId="2" borderId="0" xfId="1" applyNumberFormat="1" applyFont="1" applyFill="1" applyAlignment="1">
      <alignment horizontal="left"/>
    </xf>
    <xf numFmtId="15" fontId="20" fillId="2" borderId="0" xfId="1" applyNumberFormat="1" applyFont="1" applyFill="1" applyAlignment="1">
      <alignment horizontal="left"/>
    </xf>
    <xf numFmtId="0" fontId="1" fillId="2" borderId="0" xfId="1" applyFont="1" applyFill="1" applyAlignment="1">
      <alignment horizontal="right"/>
    </xf>
    <xf numFmtId="15" fontId="9" fillId="2" borderId="0" xfId="1" applyNumberFormat="1" applyFont="1" applyFill="1" applyAlignment="1">
      <alignment horizontal="left"/>
    </xf>
    <xf numFmtId="0" fontId="0" fillId="2" borderId="0" xfId="1" applyFont="1" applyFill="1" applyAlignment="1">
      <alignment horizontal="right"/>
    </xf>
    <xf numFmtId="0" fontId="8" fillId="2" borderId="0" xfId="1" applyFont="1" applyFill="1" applyAlignment="1">
      <alignment vertical="top"/>
    </xf>
    <xf numFmtId="0" fontId="0" fillId="2" borderId="0" xfId="1" applyFont="1" applyFill="1" applyAlignment="1">
      <alignment vertical="top"/>
    </xf>
    <xf numFmtId="0" fontId="0" fillId="2" borderId="0" xfId="0" applyFill="1" applyAlignment="1">
      <alignment vertical="center"/>
    </xf>
    <xf numFmtId="0" fontId="3" fillId="2" borderId="0" xfId="1" applyFont="1" applyFill="1" applyAlignment="1">
      <alignment horizontal="left" vertical="center"/>
    </xf>
    <xf numFmtId="0" fontId="3" fillId="2" borderId="0" xfId="1" applyFont="1" applyFill="1"/>
    <xf numFmtId="0" fontId="10" fillId="3" borderId="3" xfId="1" applyFont="1" applyFill="1" applyBorder="1" applyAlignment="1">
      <alignment horizontal="center" vertical="center"/>
    </xf>
    <xf numFmtId="0" fontId="10" fillId="3" borderId="4" xfId="1" applyFont="1" applyFill="1" applyBorder="1" applyAlignment="1">
      <alignment horizontal="center" vertical="center"/>
    </xf>
    <xf numFmtId="0" fontId="10" fillId="3" borderId="4" xfId="1" applyFont="1" applyFill="1" applyBorder="1" applyAlignment="1">
      <alignment horizontal="center" vertical="center" wrapText="1"/>
    </xf>
    <xf numFmtId="0" fontId="2" fillId="3" borderId="4" xfId="1" applyFont="1" applyFill="1" applyBorder="1" applyAlignment="1">
      <alignment horizontal="center" vertical="center" wrapText="1"/>
    </xf>
    <xf numFmtId="0" fontId="10" fillId="3" borderId="5" xfId="1" applyFont="1" applyFill="1" applyBorder="1" applyAlignment="1">
      <alignment horizontal="center" vertical="center" wrapText="1"/>
    </xf>
    <xf numFmtId="0" fontId="11" fillId="2" borderId="6" xfId="1" applyFont="1" applyFill="1" applyBorder="1" applyAlignment="1">
      <alignment horizontal="center"/>
    </xf>
    <xf numFmtId="0" fontId="11" fillId="2" borderId="2" xfId="1" applyFont="1" applyFill="1" applyBorder="1" applyAlignment="1">
      <alignment horizontal="center"/>
    </xf>
    <xf numFmtId="165" fontId="11" fillId="2" borderId="2" xfId="1" applyNumberFormat="1" applyFont="1" applyFill="1" applyBorder="1" applyAlignment="1">
      <alignment horizontal="center" vertical="top"/>
    </xf>
    <xf numFmtId="167" fontId="11" fillId="2" borderId="2" xfId="2" applyNumberFormat="1" applyFont="1" applyFill="1" applyBorder="1" applyAlignment="1">
      <alignment horizontal="center" vertical="top"/>
    </xf>
    <xf numFmtId="165" fontId="11" fillId="2" borderId="2" xfId="1" applyNumberFormat="1" applyFont="1" applyFill="1" applyBorder="1" applyAlignment="1">
      <alignment horizontal="center"/>
    </xf>
    <xf numFmtId="165" fontId="19" fillId="2" borderId="2" xfId="1" applyNumberFormat="1" applyFont="1" applyFill="1" applyBorder="1" applyAlignment="1">
      <alignment horizontal="center"/>
    </xf>
    <xf numFmtId="165" fontId="11" fillId="2" borderId="7" xfId="1" applyNumberFormat="1" applyFont="1" applyFill="1" applyBorder="1" applyAlignment="1">
      <alignment horizontal="center"/>
    </xf>
    <xf numFmtId="165" fontId="11" fillId="4" borderId="2" xfId="1" applyNumberFormat="1" applyFont="1" applyFill="1" applyBorder="1" applyAlignment="1">
      <alignment horizontal="center"/>
    </xf>
    <xf numFmtId="0" fontId="14" fillId="2" borderId="6" xfId="4" applyFont="1" applyFill="1" applyBorder="1" applyAlignment="1">
      <alignment horizontal="center"/>
    </xf>
    <xf numFmtId="10" fontId="14" fillId="2" borderId="2" xfId="5" applyNumberFormat="1" applyFont="1" applyFill="1" applyBorder="1" applyAlignment="1">
      <alignment horizontal="center" vertical="top"/>
    </xf>
    <xf numFmtId="0" fontId="11" fillId="2" borderId="2" xfId="4" applyFont="1" applyFill="1" applyBorder="1" applyAlignment="1">
      <alignment horizontal="center"/>
    </xf>
    <xf numFmtId="0" fontId="14" fillId="2" borderId="8" xfId="4" applyFont="1" applyFill="1" applyBorder="1" applyAlignment="1">
      <alignment horizontal="center"/>
    </xf>
    <xf numFmtId="0" fontId="11" fillId="2" borderId="9" xfId="4" applyFont="1" applyFill="1" applyBorder="1" applyAlignment="1">
      <alignment horizontal="center"/>
    </xf>
    <xf numFmtId="165" fontId="11" fillId="2" borderId="9" xfId="1" applyNumberFormat="1" applyFont="1" applyFill="1" applyBorder="1" applyAlignment="1">
      <alignment horizontal="center" vertical="top"/>
    </xf>
    <xf numFmtId="167" fontId="14" fillId="2" borderId="9" xfId="5" applyNumberFormat="1" applyFont="1" applyFill="1" applyBorder="1" applyAlignment="1">
      <alignment horizontal="center" vertical="top"/>
    </xf>
    <xf numFmtId="165" fontId="11" fillId="2" borderId="9" xfId="1" applyNumberFormat="1" applyFont="1" applyFill="1" applyBorder="1" applyAlignment="1">
      <alignment horizontal="center"/>
    </xf>
    <xf numFmtId="165" fontId="11" fillId="4" borderId="9" xfId="1" applyNumberFormat="1" applyFont="1" applyFill="1" applyBorder="1" applyAlignment="1">
      <alignment horizontal="center"/>
    </xf>
    <xf numFmtId="165" fontId="11" fillId="2" borderId="10" xfId="1" applyNumberFormat="1" applyFont="1" applyFill="1" applyBorder="1" applyAlignment="1">
      <alignment horizontal="center"/>
    </xf>
    <xf numFmtId="0" fontId="12" fillId="2" borderId="2" xfId="1" applyFont="1" applyFill="1" applyBorder="1" applyAlignment="1" applyProtection="1">
      <alignment horizontal="center" vertical="top"/>
      <protection hidden="1"/>
    </xf>
    <xf numFmtId="9" fontId="11" fillId="2" borderId="2" xfId="6" applyFont="1" applyFill="1" applyBorder="1" applyAlignment="1">
      <alignment horizontal="center" vertical="top"/>
    </xf>
    <xf numFmtId="0" fontId="12" fillId="2" borderId="9" xfId="1" applyFont="1" applyFill="1" applyBorder="1" applyAlignment="1" applyProtection="1">
      <alignment horizontal="center" vertical="top"/>
      <protection hidden="1"/>
    </xf>
    <xf numFmtId="0" fontId="11" fillId="2" borderId="2" xfId="1" applyFont="1" applyFill="1" applyBorder="1" applyAlignment="1" applyProtection="1">
      <alignment horizontal="center"/>
      <protection hidden="1"/>
    </xf>
    <xf numFmtId="0" fontId="4" fillId="2" borderId="0" xfId="1" applyFill="1" applyProtection="1">
      <protection hidden="1"/>
    </xf>
    <xf numFmtId="0" fontId="18" fillId="2" borderId="1" xfId="1" applyFont="1" applyFill="1" applyBorder="1" applyAlignment="1" applyProtection="1">
      <alignment vertical="center"/>
      <protection hidden="1"/>
    </xf>
    <xf numFmtId="0" fontId="0" fillId="2" borderId="0" xfId="1" applyFont="1" applyFill="1" applyProtection="1">
      <protection hidden="1"/>
    </xf>
    <xf numFmtId="0" fontId="0" fillId="5" borderId="0" xfId="1" applyFont="1" applyFill="1" applyProtection="1">
      <protection hidden="1"/>
    </xf>
    <xf numFmtId="0" fontId="4" fillId="2" borderId="0" xfId="1" applyFill="1" applyAlignment="1" applyProtection="1">
      <alignment vertical="top"/>
      <protection hidden="1"/>
    </xf>
    <xf numFmtId="0" fontId="0" fillId="2" borderId="0" xfId="1" applyFont="1" applyFill="1"/>
    <xf numFmtId="0" fontId="0" fillId="2" borderId="0" xfId="1" applyFont="1" applyFill="1" applyAlignment="1">
      <alignment horizontal="center" vertical="center"/>
    </xf>
    <xf numFmtId="0" fontId="17" fillId="2" borderId="0" xfId="1" applyFont="1" applyFill="1" applyAlignment="1">
      <alignment horizontal="left" vertical="center"/>
    </xf>
    <xf numFmtId="168" fontId="7" fillId="2" borderId="0" xfId="1" applyNumberFormat="1" applyFont="1" applyFill="1" applyAlignment="1">
      <alignment horizontal="center" vertical="center"/>
    </xf>
  </cellXfs>
  <cellStyles count="7">
    <cellStyle name="Normal" xfId="0" builtinId="0"/>
    <cellStyle name="Normal 2" xfId="1" xr:uid="{00000000-0005-0000-0000-000001000000}"/>
    <cellStyle name="Normal 3" xfId="3" xr:uid="{00000000-0005-0000-0000-000002000000}"/>
    <cellStyle name="Normal 3 2" xfId="4" xr:uid="{00000000-0005-0000-0000-000003000000}"/>
    <cellStyle name="Porcentaje" xfId="6" builtinId="5"/>
    <cellStyle name="Porcentaje 2" xfId="2" xr:uid="{00000000-0005-0000-0000-000004000000}"/>
    <cellStyle name="Porcentaje 3 2" xfId="5" xr:uid="{00000000-0005-0000-0000-000005000000}"/>
  </cellStyles>
  <dxfs count="86">
    <dxf>
      <fill>
        <patternFill patternType="solid">
          <fgColor indexed="64"/>
          <bgColor theme="0"/>
        </patternFill>
      </fill>
      <protection locked="1" hidden="1"/>
    </dxf>
    <dxf>
      <fill>
        <patternFill patternType="solid">
          <fgColor indexed="64"/>
          <bgColor theme="0"/>
        </patternFill>
      </fill>
      <protection locked="1" hidden="1"/>
    </dxf>
    <dxf>
      <fill>
        <patternFill patternType="solid">
          <fgColor indexed="64"/>
          <bgColor theme="0"/>
        </patternFill>
      </fill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protection locked="1" hidden="1"/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5" formatCode="&quot;$&quot;#,##0.0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1"/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00206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b/>
        <i val="0"/>
        <color rgb="FFFF0000"/>
      </font>
    </dxf>
    <dxf>
      <font>
        <b/>
        <i val="0"/>
        <color theme="1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styles" Target="styles.xml"/><Relationship Id="rId7" Type="http://schemas.openxmlformats.org/officeDocument/2006/relationships/customXml" Target="../customXml/item1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10</xdr:col>
      <xdr:colOff>0</xdr:colOff>
      <xdr:row>1</xdr:row>
      <xdr:rowOff>0</xdr:rowOff>
    </xdr:from>
    <xdr:ext cx="304800" cy="76200"/>
    <xdr:sp macro="" textlink="">
      <xdr:nvSpPr>
        <xdr:cNvPr id="2" name="Autoforma 1" descr="Resultado de imagen para poligrua s.a. de c.v.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>
          <a:spLocks noChangeAspect="1" noChangeArrowheads="1"/>
        </xdr:cNvSpPr>
      </xdr:nvSpPr>
      <xdr:spPr>
        <a:xfrm>
          <a:off x="15535275" y="190500"/>
          <a:ext cx="304800" cy="76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10</xdr:col>
      <xdr:colOff>0</xdr:colOff>
      <xdr:row>1</xdr:row>
      <xdr:rowOff>0</xdr:rowOff>
    </xdr:from>
    <xdr:ext cx="304800" cy="304800"/>
    <xdr:sp macro="" textlink="">
      <xdr:nvSpPr>
        <xdr:cNvPr id="3" name="Autoforma 1" descr="Resultado de imagen para poligrua s.a. de c.v.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>
          <a:spLocks noChangeAspect="1" noChangeArrowheads="1"/>
        </xdr:cNvSpPr>
      </xdr:nvSpPr>
      <xdr:spPr>
        <a:xfrm>
          <a:off x="15535275" y="190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10</xdr:col>
      <xdr:colOff>0</xdr:colOff>
      <xdr:row>1</xdr:row>
      <xdr:rowOff>0</xdr:rowOff>
    </xdr:from>
    <xdr:ext cx="304800" cy="304800"/>
    <xdr:sp macro="" textlink="">
      <xdr:nvSpPr>
        <xdr:cNvPr id="4" name="Autoforma 1" descr="Resultado de imagen para poligrua s.a. de c.v.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>
          <a:spLocks noChangeAspect="1" noChangeArrowheads="1"/>
        </xdr:cNvSpPr>
      </xdr:nvSpPr>
      <xdr:spPr>
        <a:xfrm>
          <a:off x="15535275" y="190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10</xdr:col>
      <xdr:colOff>0</xdr:colOff>
      <xdr:row>1</xdr:row>
      <xdr:rowOff>0</xdr:rowOff>
    </xdr:from>
    <xdr:ext cx="304800" cy="304800"/>
    <xdr:sp macro="" textlink="">
      <xdr:nvSpPr>
        <xdr:cNvPr id="5" name="Autoforma 1" descr="Resultado de imagen para poligrua s.a. de c.v.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>
          <a:spLocks noChangeAspect="1" noChangeArrowheads="1"/>
        </xdr:cNvSpPr>
      </xdr:nvSpPr>
      <xdr:spPr>
        <a:xfrm>
          <a:off x="15535275" y="190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10</xdr:col>
      <xdr:colOff>0</xdr:colOff>
      <xdr:row>1</xdr:row>
      <xdr:rowOff>0</xdr:rowOff>
    </xdr:from>
    <xdr:ext cx="304800" cy="304800"/>
    <xdr:sp macro="" textlink="">
      <xdr:nvSpPr>
        <xdr:cNvPr id="6" name="Autoforma 1" descr="Resultado de imagen para poligrua s.a. de c.v.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>
          <a:spLocks noChangeAspect="1" noChangeArrowheads="1"/>
        </xdr:cNvSpPr>
      </xdr:nvSpPr>
      <xdr:spPr>
        <a:xfrm>
          <a:off x="15535275" y="190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10</xdr:col>
      <xdr:colOff>0</xdr:colOff>
      <xdr:row>1</xdr:row>
      <xdr:rowOff>0</xdr:rowOff>
    </xdr:from>
    <xdr:ext cx="304800" cy="304800"/>
    <xdr:sp macro="" textlink="">
      <xdr:nvSpPr>
        <xdr:cNvPr id="7" name="Autoforma 1" descr="Resultado de imagen para poligrua s.a. de c.v.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>
          <a:spLocks noChangeAspect="1" noChangeArrowheads="1"/>
        </xdr:cNvSpPr>
      </xdr:nvSpPr>
      <xdr:spPr>
        <a:xfrm>
          <a:off x="15535275" y="190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10</xdr:col>
      <xdr:colOff>0</xdr:colOff>
      <xdr:row>1</xdr:row>
      <xdr:rowOff>0</xdr:rowOff>
    </xdr:from>
    <xdr:ext cx="304800" cy="304800"/>
    <xdr:sp macro="" textlink="">
      <xdr:nvSpPr>
        <xdr:cNvPr id="8" name="Autoforma 1" descr="Resultado de imagen para poligrua s.a. de c.v.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>
          <a:spLocks noChangeAspect="1" noChangeArrowheads="1"/>
        </xdr:cNvSpPr>
      </xdr:nvSpPr>
      <xdr:spPr>
        <a:xfrm>
          <a:off x="15535275" y="190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10</xdr:col>
      <xdr:colOff>0</xdr:colOff>
      <xdr:row>1</xdr:row>
      <xdr:rowOff>0</xdr:rowOff>
    </xdr:from>
    <xdr:ext cx="304800" cy="304800"/>
    <xdr:sp macro="" textlink="">
      <xdr:nvSpPr>
        <xdr:cNvPr id="9" name="Autoforma 1" descr="Resultado de imagen para poligrua s.a. de c.v.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>
          <a:spLocks noChangeAspect="1" noChangeArrowheads="1"/>
        </xdr:cNvSpPr>
      </xdr:nvSpPr>
      <xdr:spPr>
        <a:xfrm>
          <a:off x="15535275" y="190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10</xdr:col>
      <xdr:colOff>0</xdr:colOff>
      <xdr:row>1</xdr:row>
      <xdr:rowOff>0</xdr:rowOff>
    </xdr:from>
    <xdr:ext cx="304800" cy="304800"/>
    <xdr:sp macro="" textlink="">
      <xdr:nvSpPr>
        <xdr:cNvPr id="10" name="Autoforma 1" descr="Resultado de imagen para poligrua s.a. de c.v.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SpPr>
          <a:spLocks noChangeAspect="1" noChangeArrowheads="1"/>
        </xdr:cNvSpPr>
      </xdr:nvSpPr>
      <xdr:spPr>
        <a:xfrm>
          <a:off x="15535275" y="190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10</xdr:col>
      <xdr:colOff>0</xdr:colOff>
      <xdr:row>1</xdr:row>
      <xdr:rowOff>0</xdr:rowOff>
    </xdr:from>
    <xdr:ext cx="304800" cy="304800"/>
    <xdr:sp macro="" textlink="">
      <xdr:nvSpPr>
        <xdr:cNvPr id="11" name="Autoforma 1" descr="Resultado de imagen para poligrua s.a. de c.v.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SpPr>
          <a:spLocks noChangeAspect="1" noChangeArrowheads="1"/>
        </xdr:cNvSpPr>
      </xdr:nvSpPr>
      <xdr:spPr>
        <a:xfrm>
          <a:off x="15535275" y="190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10</xdr:col>
      <xdr:colOff>0</xdr:colOff>
      <xdr:row>1</xdr:row>
      <xdr:rowOff>0</xdr:rowOff>
    </xdr:from>
    <xdr:ext cx="304800" cy="304800"/>
    <xdr:sp macro="" textlink="">
      <xdr:nvSpPr>
        <xdr:cNvPr id="12" name="Autoforma 1" descr="Resultado de imagen para poligrua s.a. de c.v.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SpPr>
          <a:spLocks noChangeAspect="1" noChangeArrowheads="1"/>
        </xdr:cNvSpPr>
      </xdr:nvSpPr>
      <xdr:spPr>
        <a:xfrm>
          <a:off x="15535275" y="190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10</xdr:col>
      <xdr:colOff>0</xdr:colOff>
      <xdr:row>1</xdr:row>
      <xdr:rowOff>0</xdr:rowOff>
    </xdr:from>
    <xdr:ext cx="304800" cy="304800"/>
    <xdr:sp macro="" textlink="">
      <xdr:nvSpPr>
        <xdr:cNvPr id="13" name="Autoforma 1" descr="Resultado de imagen para poligrua s.a. de c.v.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SpPr>
          <a:spLocks noChangeAspect="1" noChangeArrowheads="1"/>
        </xdr:cNvSpPr>
      </xdr:nvSpPr>
      <xdr:spPr>
        <a:xfrm>
          <a:off x="15535275" y="190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10</xdr:col>
      <xdr:colOff>0</xdr:colOff>
      <xdr:row>1</xdr:row>
      <xdr:rowOff>0</xdr:rowOff>
    </xdr:from>
    <xdr:ext cx="304800" cy="304800"/>
    <xdr:sp macro="" textlink="">
      <xdr:nvSpPr>
        <xdr:cNvPr id="14" name="Autoforma 1" descr="Resultado de imagen para poligrua s.a. de c.v.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SpPr>
          <a:spLocks noChangeAspect="1" noChangeArrowheads="1"/>
        </xdr:cNvSpPr>
      </xdr:nvSpPr>
      <xdr:spPr>
        <a:xfrm>
          <a:off x="15535275" y="190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10</xdr:col>
      <xdr:colOff>0</xdr:colOff>
      <xdr:row>1</xdr:row>
      <xdr:rowOff>0</xdr:rowOff>
    </xdr:from>
    <xdr:ext cx="304800" cy="304800"/>
    <xdr:sp macro="" textlink="">
      <xdr:nvSpPr>
        <xdr:cNvPr id="15" name="Autoforma 1" descr="Resultado de imagen para poligrua s.a. de c.v.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SpPr>
          <a:spLocks noChangeAspect="1" noChangeArrowheads="1"/>
        </xdr:cNvSpPr>
      </xdr:nvSpPr>
      <xdr:spPr>
        <a:xfrm>
          <a:off x="15535275" y="190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10</xdr:col>
      <xdr:colOff>0</xdr:colOff>
      <xdr:row>1</xdr:row>
      <xdr:rowOff>0</xdr:rowOff>
    </xdr:from>
    <xdr:ext cx="304800" cy="304800"/>
    <xdr:sp macro="" textlink="">
      <xdr:nvSpPr>
        <xdr:cNvPr id="16" name="Autoforma 1" descr="Resultado de imagen para poligrua s.a. de c.v.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SpPr>
          <a:spLocks noChangeAspect="1" noChangeArrowheads="1"/>
        </xdr:cNvSpPr>
      </xdr:nvSpPr>
      <xdr:spPr>
        <a:xfrm>
          <a:off x="15535275" y="190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twoCellAnchor>
    <xdr:from>
      <xdr:col>1</xdr:col>
      <xdr:colOff>2065985</xdr:colOff>
      <xdr:row>44</xdr:row>
      <xdr:rowOff>40246</xdr:rowOff>
    </xdr:from>
    <xdr:to>
      <xdr:col>3</xdr:col>
      <xdr:colOff>1274471</xdr:colOff>
      <xdr:row>44</xdr:row>
      <xdr:rowOff>53661</xdr:rowOff>
    </xdr:to>
    <xdr:cxnSp macro="">
      <xdr:nvCxnSpPr>
        <xdr:cNvPr id="19" name="Conector recto 18">
          <a:extLst>
            <a:ext uri="{FF2B5EF4-FFF2-40B4-BE49-F238E27FC236}">
              <a16:creationId xmlns:a16="http://schemas.microsoft.com/office/drawing/2014/main" id="{00000000-0008-0000-0100-000013000000}"/>
            </a:ext>
          </a:extLst>
        </xdr:cNvPr>
        <xdr:cNvCxnSpPr/>
      </xdr:nvCxnSpPr>
      <xdr:spPr>
        <a:xfrm flipV="1">
          <a:off x="3716091" y="10209190"/>
          <a:ext cx="3045317" cy="1341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630528</xdr:colOff>
      <xdr:row>44</xdr:row>
      <xdr:rowOff>0</xdr:rowOff>
    </xdr:from>
    <xdr:to>
      <xdr:col>8</xdr:col>
      <xdr:colOff>456126</xdr:colOff>
      <xdr:row>44</xdr:row>
      <xdr:rowOff>13415</xdr:rowOff>
    </xdr:to>
    <xdr:cxnSp macro="">
      <xdr:nvCxnSpPr>
        <xdr:cNvPr id="20" name="Conector recto 19">
          <a:extLs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CxnSpPr/>
      </xdr:nvCxnSpPr>
      <xdr:spPr>
        <a:xfrm>
          <a:off x="9659155" y="10168944"/>
          <a:ext cx="3085563" cy="1341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778098</xdr:colOff>
      <xdr:row>56</xdr:row>
      <xdr:rowOff>174402</xdr:rowOff>
    </xdr:from>
    <xdr:to>
      <xdr:col>8</xdr:col>
      <xdr:colOff>536619</xdr:colOff>
      <xdr:row>57</xdr:row>
      <xdr:rowOff>0</xdr:rowOff>
    </xdr:to>
    <xdr:cxnSp macro="">
      <xdr:nvCxnSpPr>
        <xdr:cNvPr id="23" name="Conector recto 22">
          <a:extLst>
            <a:ext uri="{FF2B5EF4-FFF2-40B4-BE49-F238E27FC236}">
              <a16:creationId xmlns:a16="http://schemas.microsoft.com/office/drawing/2014/main" id="{00000000-0008-0000-0100-000017000000}"/>
            </a:ext>
          </a:extLst>
        </xdr:cNvPr>
        <xdr:cNvCxnSpPr/>
      </xdr:nvCxnSpPr>
      <xdr:spPr>
        <a:xfrm flipV="1">
          <a:off x="9806725" y="12597148"/>
          <a:ext cx="3018486" cy="1341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1998908</xdr:colOff>
      <xdr:row>55</xdr:row>
      <xdr:rowOff>134154</xdr:rowOff>
    </xdr:from>
    <xdr:to>
      <xdr:col>3</xdr:col>
      <xdr:colOff>1220810</xdr:colOff>
      <xdr:row>55</xdr:row>
      <xdr:rowOff>147570</xdr:rowOff>
    </xdr:to>
    <xdr:cxnSp macro="">
      <xdr:nvCxnSpPr>
        <xdr:cNvPr id="24" name="Conector recto 23">
          <a:extLst>
            <a:ext uri="{FF2B5EF4-FFF2-40B4-BE49-F238E27FC236}">
              <a16:creationId xmlns:a16="http://schemas.microsoft.com/office/drawing/2014/main" id="{00000000-0008-0000-0100-000018000000}"/>
            </a:ext>
          </a:extLst>
        </xdr:cNvPr>
        <xdr:cNvCxnSpPr/>
      </xdr:nvCxnSpPr>
      <xdr:spPr>
        <a:xfrm>
          <a:off x="3649014" y="12369084"/>
          <a:ext cx="3058733" cy="13416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2052569</xdr:colOff>
      <xdr:row>44</xdr:row>
      <xdr:rowOff>107323</xdr:rowOff>
    </xdr:from>
    <xdr:to>
      <xdr:col>3</xdr:col>
      <xdr:colOff>1274471</xdr:colOff>
      <xdr:row>49</xdr:row>
      <xdr:rowOff>13415</xdr:rowOff>
    </xdr:to>
    <xdr:sp macro="" textlink="">
      <xdr:nvSpPr>
        <xdr:cNvPr id="28" name="Rectángulo 27">
          <a:extLst>
            <a:ext uri="{FF2B5EF4-FFF2-40B4-BE49-F238E27FC236}">
              <a16:creationId xmlns:a16="http://schemas.microsoft.com/office/drawing/2014/main" id="{00000000-0008-0000-0100-00001C000000}"/>
            </a:ext>
          </a:extLst>
        </xdr:cNvPr>
        <xdr:cNvSpPr/>
      </xdr:nvSpPr>
      <xdr:spPr>
        <a:xfrm>
          <a:off x="3702675" y="10276267"/>
          <a:ext cx="3058733" cy="845176"/>
        </a:xfrm>
        <a:prstGeom prst="rect">
          <a:avLst/>
        </a:prstGeom>
        <a:ln>
          <a:noFill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MX" sz="14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Solicita</a:t>
          </a:r>
          <a:r>
            <a:rPr lang="es-MX" sz="14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Líder Control y Medición</a:t>
          </a:r>
          <a:r>
            <a:rPr lang="es-MX" sz="14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</a:t>
          </a:r>
          <a:r>
            <a:rPr lang="es-MX" sz="14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Ing.</a:t>
          </a:r>
          <a:r>
            <a:rPr lang="es-MX" sz="14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Marisol Guerrero Zea</a:t>
          </a:r>
          <a:endParaRPr lang="es-MX" sz="1400">
            <a:effectLst/>
          </a:endParaRPr>
        </a:p>
        <a:p>
          <a:pPr algn="l"/>
          <a:endParaRPr lang="es-MX" sz="1100"/>
        </a:p>
      </xdr:txBody>
    </xdr:sp>
    <xdr:clientData/>
  </xdr:twoCellAnchor>
  <xdr:twoCellAnchor>
    <xdr:from>
      <xdr:col>5</xdr:col>
      <xdr:colOff>635357</xdr:colOff>
      <xdr:row>44</xdr:row>
      <xdr:rowOff>98737</xdr:rowOff>
    </xdr:from>
    <xdr:to>
      <xdr:col>8</xdr:col>
      <xdr:colOff>434125</xdr:colOff>
      <xdr:row>49</xdr:row>
      <xdr:rowOff>4829</xdr:rowOff>
    </xdr:to>
    <xdr:sp macro="" textlink="">
      <xdr:nvSpPr>
        <xdr:cNvPr id="34" name="Rectángulo 33">
          <a:extLst>
            <a:ext uri="{FF2B5EF4-FFF2-40B4-BE49-F238E27FC236}">
              <a16:creationId xmlns:a16="http://schemas.microsoft.com/office/drawing/2014/main" id="{00000000-0008-0000-0100-000022000000}"/>
            </a:ext>
          </a:extLst>
        </xdr:cNvPr>
        <xdr:cNvSpPr/>
      </xdr:nvSpPr>
      <xdr:spPr>
        <a:xfrm>
          <a:off x="9663984" y="10267681"/>
          <a:ext cx="3058733" cy="845176"/>
        </a:xfrm>
        <a:prstGeom prst="rect">
          <a:avLst/>
        </a:prstGeom>
        <a:ln>
          <a:noFill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es-MX" sz="14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AUTORIZA</a:t>
          </a:r>
          <a:r>
            <a:rPr lang="es-MX" sz="14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CCO</a:t>
          </a:r>
          <a:r>
            <a:rPr lang="es-MX" sz="14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Comercialización </a:t>
          </a:r>
          <a:r>
            <a:rPr lang="es-MX" sz="14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Arq.</a:t>
          </a:r>
          <a:r>
            <a:rPr lang="es-MX" sz="14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Juan Carlos Romo García</a:t>
          </a:r>
          <a:endParaRPr lang="es-MX" sz="1400">
            <a:effectLst/>
          </a:endParaRPr>
        </a:p>
        <a:p>
          <a:pPr algn="l"/>
          <a:endParaRPr lang="es-MX" sz="1100"/>
        </a:p>
      </xdr:txBody>
    </xdr:sp>
    <xdr:clientData/>
  </xdr:twoCellAnchor>
  <xdr:twoCellAnchor>
    <xdr:from>
      <xdr:col>1</xdr:col>
      <xdr:colOff>2003738</xdr:colOff>
      <xdr:row>56</xdr:row>
      <xdr:rowOff>18248</xdr:rowOff>
    </xdr:from>
    <xdr:to>
      <xdr:col>3</xdr:col>
      <xdr:colOff>1225640</xdr:colOff>
      <xdr:row>60</xdr:row>
      <xdr:rowOff>112156</xdr:rowOff>
    </xdr:to>
    <xdr:sp macro="" textlink="">
      <xdr:nvSpPr>
        <xdr:cNvPr id="37" name="Rectángulo 36">
          <a:extLst>
            <a:ext uri="{FF2B5EF4-FFF2-40B4-BE49-F238E27FC236}">
              <a16:creationId xmlns:a16="http://schemas.microsoft.com/office/drawing/2014/main" id="{00000000-0008-0000-0100-000025000000}"/>
            </a:ext>
          </a:extLst>
        </xdr:cNvPr>
        <xdr:cNvSpPr/>
      </xdr:nvSpPr>
      <xdr:spPr>
        <a:xfrm>
          <a:off x="3653844" y="12440994"/>
          <a:ext cx="3058733" cy="845176"/>
        </a:xfrm>
        <a:prstGeom prst="rect">
          <a:avLst/>
        </a:prstGeom>
        <a:ln>
          <a:noFill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es-MX" sz="14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REVISA</a:t>
          </a:r>
          <a:r>
            <a:rPr lang="es-MX" sz="14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.  Admon </a:t>
          </a:r>
          <a:endParaRPr lang="es-MX" sz="1400">
            <a:effectLst/>
          </a:endParaRPr>
        </a:p>
        <a:p>
          <a:pPr algn="ctr" eaLnBrk="1" fontAlgn="auto" latinLnBrk="0" hangingPunct="1"/>
          <a:r>
            <a:rPr lang="es-MX" sz="14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Lic. </a:t>
          </a:r>
          <a:r>
            <a:rPr lang="es-MX" sz="14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Anahí Ramirez Hernandez</a:t>
          </a:r>
        </a:p>
        <a:p>
          <a:pPr algn="ctr" eaLnBrk="1" fontAlgn="auto" latinLnBrk="0" hangingPunct="1"/>
          <a:endParaRPr lang="es-MX" sz="1400">
            <a:effectLst/>
          </a:endParaRPr>
        </a:p>
        <a:p>
          <a:pPr algn="l"/>
          <a:endParaRPr lang="es-MX" sz="1100"/>
        </a:p>
      </xdr:txBody>
    </xdr:sp>
    <xdr:clientData/>
  </xdr:twoCellAnchor>
  <xdr:twoCellAnchor>
    <xdr:from>
      <xdr:col>5</xdr:col>
      <xdr:colOff>747510</xdr:colOff>
      <xdr:row>57</xdr:row>
      <xdr:rowOff>49905</xdr:rowOff>
    </xdr:from>
    <xdr:to>
      <xdr:col>8</xdr:col>
      <xdr:colOff>546278</xdr:colOff>
      <xdr:row>61</xdr:row>
      <xdr:rowOff>143813</xdr:rowOff>
    </xdr:to>
    <xdr:sp macro="" textlink="">
      <xdr:nvSpPr>
        <xdr:cNvPr id="40" name="Rectángulo 39">
          <a:extLst>
            <a:ext uri="{FF2B5EF4-FFF2-40B4-BE49-F238E27FC236}">
              <a16:creationId xmlns:a16="http://schemas.microsoft.com/office/drawing/2014/main" id="{00000000-0008-0000-0100-000028000000}"/>
            </a:ext>
          </a:extLst>
        </xdr:cNvPr>
        <xdr:cNvSpPr/>
      </xdr:nvSpPr>
      <xdr:spPr>
        <a:xfrm>
          <a:off x="9776137" y="12660468"/>
          <a:ext cx="3058733" cy="845176"/>
        </a:xfrm>
        <a:prstGeom prst="rect">
          <a:avLst/>
        </a:prstGeom>
        <a:ln>
          <a:noFill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es-MX" sz="14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Vo Bo</a:t>
          </a:r>
          <a:r>
            <a:rPr lang="es-MX" sz="14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. Gerente Administración</a:t>
          </a:r>
          <a:r>
            <a:rPr lang="es-MX" sz="14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</a:t>
          </a:r>
          <a:endParaRPr lang="es-MX" sz="1400">
            <a:effectLst/>
          </a:endParaRPr>
        </a:p>
        <a:p>
          <a:pPr algn="ctr"/>
          <a:r>
            <a:rPr lang="es-MX" sz="14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Lic. Mauricio</a:t>
          </a:r>
          <a:r>
            <a:rPr lang="es-MX" sz="14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Rojano Mata</a:t>
          </a:r>
          <a:endParaRPr lang="es-MX" sz="1400">
            <a:effectLst/>
          </a:endParaRPr>
        </a:p>
        <a:p>
          <a:pPr algn="l"/>
          <a:endParaRPr lang="es-MX" sz="1100"/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F02965A-A1C4-4EA3-9C71-77D42194398F}" name="COMISIONES" displayName="COMISIONES" ref="B19:J27" totalsRowShown="0" headerRowDxfId="16" headerRowBorderDxfId="15" tableBorderDxfId="14" totalsRowBorderDxfId="13" headerRowCellStyle="Normal 2">
  <autoFilter ref="B19:J27" xr:uid="{CF02965A-A1C4-4EA3-9C71-77D42194398F}"/>
  <tableColumns count="9">
    <tableColumn id="1" xr3:uid="{5A276BCE-9015-4C1C-A41D-7612212B64FD}" name="COMISIONISTA" dataDxfId="12">
      <calculatedColumnFormula array="1">_xlfn.IFS(C16=P31,Q19,C16=P32,Q20)</calculatedColumnFormula>
    </tableColumn>
    <tableColumn id="2" xr3:uid="{A2DA3FCD-1648-4D19-AA30-4D6F772C6C25}" name="PUESTO" dataDxfId="11"/>
    <tableColumn id="3" xr3:uid="{BBDB93EB-E9D8-49CB-B3C6-E12510320B10}" name="LOTE" dataDxfId="10"/>
    <tableColumn id="4" xr3:uid="{ECA2E40A-A47C-456D-A6E9-4CC514C4235D}" name="IMPORTE A COMISIONAR" dataDxfId="9"/>
    <tableColumn id="5" xr3:uid="{9507C231-34D7-4B38-A261-2AE9253B5FEB}" name="% COMISIÓN " dataDxfId="8"/>
    <tableColumn id="6" xr3:uid="{C673A43C-5588-4284-A13D-26B1BBB26B67}" name="IMPORTE" dataDxfId="7"/>
    <tableColumn id="7" xr3:uid="{BE42516F-E922-4E9F-9A34-5E5E6BB0F55E}" name="TIPO DE PAGO" dataDxfId="6">
      <calculatedColumnFormula array="1">_xlfn.IFS($B20=$Q19,"FACTURA",$B20=$Q20,"COMERCIALIZADORA",$B20=$Q21,"FACTURA")</calculatedColumnFormula>
    </tableColumn>
    <tableColumn id="8" xr3:uid="{164895F4-9CAC-40F0-AC16-E4295FA6FDAA}" name="DESCUENTOS " dataDxfId="5"/>
    <tableColumn id="9" xr3:uid="{D3072E11-B7E0-4350-A03E-983D973C663E}" name="PAGAR" dataDxfId="4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D9FA4E6-79E0-4019-A461-EE2CA98B8DA9}" name="Tabla1" displayName="Tabla1" ref="M2:N612" totalsRowShown="0" headerRowDxfId="3" dataDxfId="2" headerRowCellStyle="Normal 2" dataCellStyle="Normal 2">
  <autoFilter ref="M2:N612" xr:uid="{9D9FA4E6-79E0-4019-A461-EE2CA98B8DA9}"/>
  <tableColumns count="2">
    <tableColumn id="1" xr3:uid="{5E05CBFE-C0FF-4FAB-A5E0-F1881FEF3495}" name="LLAVE" dataDxfId="1" dataCellStyle="Normal 2"/>
    <tableColumn id="2" xr3:uid="{BFA5461D-B815-41BF-AE11-A4AE18EC9480}" name="DESCRIPCION" dataDxfId="0" dataCellStyle="Normal 2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2.xml"/><Relationship Id="rId4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>
    <pageSetUpPr fitToPage="1"/>
  </sheetPr>
  <dimension ref="A2:U612"/>
  <sheetViews>
    <sheetView tabSelected="1" zoomScale="60" zoomScaleNormal="60" zoomScaleSheetLayoutView="93" workbookViewId="0">
      <selection activeCell="C7" sqref="C7"/>
    </sheetView>
  </sheetViews>
  <sheetFormatPr baseColWidth="10" defaultColWidth="11.42578125" defaultRowHeight="15" x14ac:dyDescent="0.25"/>
  <cols>
    <col min="1" max="1" width="16.85546875" style="1" customWidth="1"/>
    <col min="2" max="2" width="35.85546875" style="1" customWidth="1"/>
    <col min="3" max="3" width="33.85546875" style="2" customWidth="1"/>
    <col min="4" max="4" width="34.42578125" style="2" customWidth="1"/>
    <col min="5" max="6" width="18.7109375" style="1" customWidth="1"/>
    <col min="7" max="7" width="16.28515625" style="3" bestFit="1" customWidth="1"/>
    <col min="8" max="8" width="30.5703125" style="3" bestFit="1" customWidth="1"/>
    <col min="9" max="9" width="20.28515625" style="1" customWidth="1"/>
    <col min="10" max="10" width="17.140625" style="1" customWidth="1"/>
    <col min="11" max="11" width="11.42578125" style="1"/>
    <col min="12" max="12" width="15.140625" style="64" customWidth="1"/>
    <col min="13" max="13" width="27.28515625" style="64" hidden="1" customWidth="1"/>
    <col min="14" max="14" width="41.140625" style="64" hidden="1" customWidth="1"/>
    <col min="15" max="15" width="15.140625" style="64" hidden="1" customWidth="1"/>
    <col min="16" max="16" width="34.140625" style="64" hidden="1" customWidth="1"/>
    <col min="17" max="17" width="34.42578125" style="64" hidden="1" customWidth="1"/>
    <col min="18" max="18" width="16.140625" style="64" hidden="1" customWidth="1"/>
    <col min="19" max="19" width="19.85546875" style="64" hidden="1" customWidth="1"/>
    <col min="20" max="20" width="20.85546875" style="64" hidden="1" customWidth="1"/>
    <col min="21" max="21" width="15.140625" style="64" hidden="1" customWidth="1"/>
    <col min="22" max="16384" width="11.42578125" style="1"/>
  </cols>
  <sheetData>
    <row r="2" spans="2:21" x14ac:dyDescent="0.25">
      <c r="M2" s="64" t="s">
        <v>1278</v>
      </c>
      <c r="N2" s="66" t="s">
        <v>1279</v>
      </c>
    </row>
    <row r="3" spans="2:21" ht="33.75" x14ac:dyDescent="0.25">
      <c r="B3" s="4" t="s">
        <v>0</v>
      </c>
      <c r="D3" s="5"/>
      <c r="G3" s="72">
        <f ca="1">TODAY()</f>
        <v>44902</v>
      </c>
      <c r="H3" s="72"/>
      <c r="I3" s="72"/>
      <c r="J3" s="72"/>
      <c r="M3" s="64" t="s">
        <v>62</v>
      </c>
      <c r="N3" s="64" t="s">
        <v>63</v>
      </c>
      <c r="P3" s="65" t="s">
        <v>17</v>
      </c>
    </row>
    <row r="4" spans="2:21" ht="28.5" x14ac:dyDescent="0.25">
      <c r="B4" s="24" t="s">
        <v>26</v>
      </c>
      <c r="D4" s="5"/>
      <c r="M4" s="64" t="s">
        <v>64</v>
      </c>
      <c r="N4" s="64" t="s">
        <v>65</v>
      </c>
      <c r="P4" s="65" t="s">
        <v>26</v>
      </c>
    </row>
    <row r="5" spans="2:21" ht="18.75" x14ac:dyDescent="0.3">
      <c r="B5" s="6" t="s">
        <v>59</v>
      </c>
      <c r="M5" s="64" t="s">
        <v>66</v>
      </c>
      <c r="N5" s="64" t="s">
        <v>67</v>
      </c>
    </row>
    <row r="6" spans="2:21" x14ac:dyDescent="0.25">
      <c r="M6" s="64" t="s">
        <v>68</v>
      </c>
      <c r="N6" s="64" t="s">
        <v>69</v>
      </c>
      <c r="P6" s="66" t="s">
        <v>33</v>
      </c>
      <c r="Q6" s="66" t="s">
        <v>55</v>
      </c>
    </row>
    <row r="7" spans="2:21" ht="23.25" customHeight="1" x14ac:dyDescent="0.25">
      <c r="B7" s="29" t="s">
        <v>16</v>
      </c>
      <c r="C7" s="7"/>
      <c r="D7" s="9"/>
      <c r="E7" s="9"/>
      <c r="M7" s="64" t="s">
        <v>70</v>
      </c>
      <c r="N7" s="64" t="s">
        <v>71</v>
      </c>
      <c r="P7" s="66" t="s">
        <v>35</v>
      </c>
      <c r="R7" s="66" t="s">
        <v>51</v>
      </c>
      <c r="S7" s="66" t="s">
        <v>53</v>
      </c>
      <c r="T7" s="66" t="s">
        <v>54</v>
      </c>
      <c r="U7" s="66" t="s">
        <v>27</v>
      </c>
    </row>
    <row r="8" spans="2:21" ht="23.25" customHeight="1" x14ac:dyDescent="0.25">
      <c r="B8" s="29" t="s">
        <v>1</v>
      </c>
      <c r="C8" s="7"/>
      <c r="D8" s="70"/>
      <c r="E8" s="70"/>
      <c r="M8" s="64" t="s">
        <v>72</v>
      </c>
      <c r="N8" s="64" t="s">
        <v>73</v>
      </c>
      <c r="P8" s="64" t="s">
        <v>28</v>
      </c>
      <c r="Q8" s="66" t="s">
        <v>48</v>
      </c>
      <c r="U8" s="66"/>
    </row>
    <row r="9" spans="2:21" ht="23.25" customHeight="1" x14ac:dyDescent="0.25">
      <c r="B9" s="29" t="s">
        <v>23</v>
      </c>
      <c r="C9" s="36"/>
      <c r="D9" s="33"/>
      <c r="E9" s="69"/>
      <c r="G9" s="35"/>
      <c r="H9" s="35"/>
      <c r="M9" s="64" t="s">
        <v>74</v>
      </c>
      <c r="N9" s="64" t="s">
        <v>75</v>
      </c>
      <c r="P9" s="64" t="s">
        <v>29</v>
      </c>
      <c r="Q9" s="66" t="s">
        <v>29</v>
      </c>
    </row>
    <row r="10" spans="2:21" ht="23.25" customHeight="1" x14ac:dyDescent="0.25">
      <c r="B10" s="29" t="s">
        <v>2</v>
      </c>
      <c r="C10" s="26"/>
      <c r="D10" s="11"/>
      <c r="E10" s="12"/>
      <c r="F10" s="12"/>
      <c r="M10" s="64" t="s">
        <v>76</v>
      </c>
      <c r="N10" s="64" t="s">
        <v>77</v>
      </c>
      <c r="P10" s="67" t="s">
        <v>50</v>
      </c>
      <c r="Q10" s="66" t="s">
        <v>50</v>
      </c>
      <c r="S10" s="66"/>
    </row>
    <row r="11" spans="2:21" ht="23.25" customHeight="1" x14ac:dyDescent="0.25">
      <c r="B11" s="29" t="s">
        <v>3</v>
      </c>
      <c r="C11" s="26"/>
      <c r="D11" s="13"/>
      <c r="E11" s="12"/>
      <c r="M11" s="64" t="s">
        <v>78</v>
      </c>
      <c r="N11" s="64" t="s">
        <v>79</v>
      </c>
      <c r="P11" s="64" t="s">
        <v>30</v>
      </c>
      <c r="Q11" s="66" t="s">
        <v>30</v>
      </c>
      <c r="S11" s="66"/>
    </row>
    <row r="12" spans="2:21" ht="23.25" customHeight="1" x14ac:dyDescent="0.25">
      <c r="B12" s="29" t="s">
        <v>4</v>
      </c>
      <c r="C12" s="26"/>
      <c r="D12" s="14"/>
      <c r="E12" s="12"/>
      <c r="M12" s="64" t="s">
        <v>80</v>
      </c>
      <c r="N12" s="64" t="s">
        <v>81</v>
      </c>
      <c r="P12" s="66" t="s">
        <v>57</v>
      </c>
      <c r="Q12" s="66" t="s">
        <v>57</v>
      </c>
    </row>
    <row r="13" spans="2:21" ht="23.25" customHeight="1" x14ac:dyDescent="0.25">
      <c r="B13" s="29" t="s">
        <v>5</v>
      </c>
      <c r="C13" s="27">
        <f>C12-C11</f>
        <v>0</v>
      </c>
      <c r="D13" s="10"/>
      <c r="E13" s="12"/>
      <c r="M13" s="64" t="s">
        <v>82</v>
      </c>
      <c r="N13" s="64" t="s">
        <v>83</v>
      </c>
      <c r="P13" s="64" t="s">
        <v>31</v>
      </c>
      <c r="Q13" s="66" t="s">
        <v>58</v>
      </c>
      <c r="R13" s="66" t="s">
        <v>34</v>
      </c>
    </row>
    <row r="14" spans="2:21" ht="23.25" customHeight="1" x14ac:dyDescent="0.25">
      <c r="B14" s="29" t="s">
        <v>15</v>
      </c>
      <c r="C14" s="30"/>
      <c r="M14" s="64" t="s">
        <v>84</v>
      </c>
      <c r="N14" s="64" t="s">
        <v>85</v>
      </c>
      <c r="P14" s="66" t="s">
        <v>36</v>
      </c>
    </row>
    <row r="15" spans="2:21" ht="23.25" customHeight="1" x14ac:dyDescent="0.25">
      <c r="B15" s="29" t="s">
        <v>14</v>
      </c>
      <c r="C15" s="28"/>
      <c r="D15" s="33"/>
      <c r="M15" s="64" t="s">
        <v>86</v>
      </c>
      <c r="N15" s="64" t="s">
        <v>87</v>
      </c>
      <c r="P15" s="64" t="s">
        <v>32</v>
      </c>
      <c r="Q15" s="66" t="s">
        <v>52</v>
      </c>
    </row>
    <row r="16" spans="2:21" x14ac:dyDescent="0.25">
      <c r="C16" s="8"/>
      <c r="M16" s="64" t="s">
        <v>88</v>
      </c>
      <c r="N16" s="64" t="s">
        <v>89</v>
      </c>
      <c r="Q16" s="66" t="s">
        <v>49</v>
      </c>
    </row>
    <row r="17" spans="2:19" x14ac:dyDescent="0.25">
      <c r="B17" s="31" t="s">
        <v>20</v>
      </c>
      <c r="C17" s="34"/>
      <c r="D17" s="15"/>
      <c r="E17" s="16"/>
      <c r="M17" s="64" t="s">
        <v>90</v>
      </c>
      <c r="N17" s="64" t="s">
        <v>91</v>
      </c>
      <c r="Q17" s="66" t="s">
        <v>56</v>
      </c>
    </row>
    <row r="18" spans="2:19" ht="18.75" x14ac:dyDescent="0.25">
      <c r="B18" s="31" t="s">
        <v>21</v>
      </c>
      <c r="C18" s="32" t="s">
        <v>22</v>
      </c>
      <c r="D18" s="15"/>
      <c r="E18" s="16"/>
      <c r="I18" s="25"/>
      <c r="M18" s="64" t="s">
        <v>92</v>
      </c>
      <c r="N18" s="64" t="s">
        <v>93</v>
      </c>
      <c r="Q18" s="66"/>
    </row>
    <row r="19" spans="2:19" ht="30" x14ac:dyDescent="0.25">
      <c r="B19" s="37" t="s">
        <v>6</v>
      </c>
      <c r="C19" s="38" t="s">
        <v>7</v>
      </c>
      <c r="D19" s="38" t="s">
        <v>8</v>
      </c>
      <c r="E19" s="39" t="s">
        <v>2</v>
      </c>
      <c r="F19" s="39" t="s">
        <v>9</v>
      </c>
      <c r="G19" s="39" t="s">
        <v>10</v>
      </c>
      <c r="H19" s="40" t="s">
        <v>18</v>
      </c>
      <c r="I19" s="40" t="s">
        <v>19</v>
      </c>
      <c r="J19" s="41" t="s">
        <v>11</v>
      </c>
      <c r="M19" s="64" t="s">
        <v>94</v>
      </c>
      <c r="N19" s="64" t="s">
        <v>95</v>
      </c>
    </row>
    <row r="20" spans="2:19" ht="15.75" x14ac:dyDescent="0.25">
      <c r="B20" s="42"/>
      <c r="C20" s="42" t="s">
        <v>12</v>
      </c>
      <c r="D20" s="60" t="e">
        <f>VLOOKUP(C9,Tabla1[#All],2,0)</f>
        <v>#N/A</v>
      </c>
      <c r="E20" s="44">
        <f t="shared" ref="E20:E27" si="0">$C$10</f>
        <v>0</v>
      </c>
      <c r="F20" s="61" t="str">
        <f>IF($C$7=$P$13,"2.8%","3.0%")</f>
        <v>3.0%</v>
      </c>
      <c r="G20" s="46">
        <f t="shared" ref="G20:G27" si="1">E20*F20</f>
        <v>0</v>
      </c>
      <c r="H20" s="47"/>
      <c r="I20" s="46"/>
      <c r="J20" s="48">
        <f>G20-I20</f>
        <v>0</v>
      </c>
      <c r="M20" s="64" t="s">
        <v>96</v>
      </c>
      <c r="N20" s="64" t="s">
        <v>97</v>
      </c>
    </row>
    <row r="21" spans="2:19" ht="15.75" x14ac:dyDescent="0.25">
      <c r="B21" s="42"/>
      <c r="C21" s="43" t="s">
        <v>13</v>
      </c>
      <c r="D21" s="60" t="e">
        <f>D20</f>
        <v>#N/A</v>
      </c>
      <c r="E21" s="44">
        <f t="shared" si="0"/>
        <v>0</v>
      </c>
      <c r="F21" s="45">
        <v>0.01</v>
      </c>
      <c r="G21" s="46">
        <f t="shared" si="1"/>
        <v>0</v>
      </c>
      <c r="H21" s="47"/>
      <c r="I21" s="49"/>
      <c r="J21" s="48">
        <f t="shared" ref="J21:J27" si="2">G21-I21</f>
        <v>0</v>
      </c>
      <c r="M21" s="64" t="s">
        <v>98</v>
      </c>
      <c r="N21" s="64" t="s">
        <v>99</v>
      </c>
      <c r="Q21" s="66"/>
    </row>
    <row r="22" spans="2:19" ht="15.75" hidden="1" x14ac:dyDescent="0.25">
      <c r="B22" s="63" cm="1">
        <f t="array" ref="B22">_xlfn.IFS($C$18=$P$33,$Q$21,$C$18=$P$34,$Q$22)</f>
        <v>0</v>
      </c>
      <c r="C22" s="63" t="str" cm="1">
        <f t="array" ref="C22">_xlfn.IFS($B22=$Q$21,"DVR",$B22=$Q$22,"DVR",$B22=$Q$23,"DVN")</f>
        <v>DVR</v>
      </c>
      <c r="D22" s="60" t="e">
        <f t="shared" ref="D22:D27" si="3">D21</f>
        <v>#N/A</v>
      </c>
      <c r="E22" s="44">
        <f t="shared" si="0"/>
        <v>0</v>
      </c>
      <c r="F22" s="45" t="str" cm="1">
        <f t="array" ref="F22">_xlfn.IFS($B22=$Q$21,"1.0%",$B22=$Q$22,"1.0%",$B$23=$Q$23,"0.25%")</f>
        <v>1.0%</v>
      </c>
      <c r="G22" s="46">
        <f t="shared" si="1"/>
        <v>0</v>
      </c>
      <c r="H22" s="47" t="str" cm="1">
        <f t="array" ref="H22">_xlfn.IFS($B22=$Q$21,"FACTURA",$B22=$Q$22,"COMERCIALIZADORA",$B22=$Q$23,"FACTURA")</f>
        <v>FACTURA</v>
      </c>
      <c r="I22" s="49"/>
      <c r="J22" s="46">
        <f t="shared" si="2"/>
        <v>0</v>
      </c>
      <c r="K22" s="17"/>
      <c r="M22" s="64" t="s">
        <v>100</v>
      </c>
      <c r="N22" s="64" t="s">
        <v>101</v>
      </c>
      <c r="P22" s="66" t="s">
        <v>40</v>
      </c>
      <c r="Q22" s="66" t="s">
        <v>60</v>
      </c>
      <c r="S22" s="66"/>
    </row>
    <row r="23" spans="2:19" ht="15.75" hidden="1" x14ac:dyDescent="0.25">
      <c r="B23" s="63" t="str" cm="1">
        <f t="array" ref="B23">_xlfn.IFS($C$18=$P$33,$Q$23,$C$18=$P$34,$Q$23)</f>
        <v>KARINA PAOLA GUSI TORRES</v>
      </c>
      <c r="C23" s="63" t="str" cm="1">
        <f t="array" ref="C23">_xlfn.IFS($B23=$Q$21,"DVR",$B23=$Q$22,"DVR",$B23=$Q$23,"DVN")</f>
        <v>DVN</v>
      </c>
      <c r="D23" s="60" t="e">
        <f t="shared" si="3"/>
        <v>#N/A</v>
      </c>
      <c r="E23" s="44">
        <f t="shared" si="0"/>
        <v>0</v>
      </c>
      <c r="F23" s="45" t="str" cm="1">
        <f t="array" ref="F23">_xlfn.IFS($B23=$Q$21,"1.0%",$B23=$Q$22,"1.0%",$B$23=$Q$23,"0.25%")</f>
        <v>0.25%</v>
      </c>
      <c r="G23" s="46">
        <f t="shared" si="1"/>
        <v>0</v>
      </c>
      <c r="H23" s="47" t="str" cm="1">
        <f t="array" ref="H23">_xlfn.IFS($B23=$Q$21,"FACTURA",$B23=$Q$22,"COMERCIALIZADORA",$B23=$Q$23,"FACTURA")</f>
        <v>FACTURA</v>
      </c>
      <c r="I23" s="49"/>
      <c r="J23" s="48">
        <f t="shared" si="2"/>
        <v>0</v>
      </c>
      <c r="K23" s="17"/>
      <c r="M23" s="64" t="s">
        <v>102</v>
      </c>
      <c r="N23" s="64" t="s">
        <v>103</v>
      </c>
      <c r="P23" s="66" t="s">
        <v>12</v>
      </c>
      <c r="Q23" s="66" t="s">
        <v>61</v>
      </c>
    </row>
    <row r="24" spans="2:19" ht="15.75" hidden="1" x14ac:dyDescent="0.25">
      <c r="B24" s="50" t="e" cm="1">
        <f t="array" ref="B24">_xlfn.IFS(C20=P35,Q23,C20=P36,Q24)</f>
        <v>#N/A</v>
      </c>
      <c r="C24" s="43"/>
      <c r="D24" s="60" t="e">
        <f t="shared" si="3"/>
        <v>#N/A</v>
      </c>
      <c r="E24" s="44">
        <f t="shared" si="0"/>
        <v>0</v>
      </c>
      <c r="F24" s="51">
        <v>2.5000000000000001E-3</v>
      </c>
      <c r="G24" s="46">
        <f t="shared" si="1"/>
        <v>0</v>
      </c>
      <c r="H24" s="47" t="e" cm="1">
        <f t="array" ref="H24">_xlfn.IFS($B24=$Q23,"FACTURA",$B24=$Q24,"COMERCIALIZADORA",$B24=$Q25,"FACTURA")</f>
        <v>#N/A</v>
      </c>
      <c r="I24" s="49"/>
      <c r="J24" s="48">
        <f t="shared" si="2"/>
        <v>0</v>
      </c>
      <c r="K24" s="17"/>
      <c r="M24" s="64" t="s">
        <v>104</v>
      </c>
      <c r="N24" s="64" t="s">
        <v>105</v>
      </c>
      <c r="P24" s="66" t="s">
        <v>37</v>
      </c>
      <c r="Q24" s="66"/>
    </row>
    <row r="25" spans="2:19" ht="15.75" hidden="1" x14ac:dyDescent="0.25">
      <c r="B25" s="50" t="e" cm="1">
        <f t="array" ref="B25">_xlfn.IFS(C21=P36,Q24,C21=P37,Q25)</f>
        <v>#N/A</v>
      </c>
      <c r="C25" s="43"/>
      <c r="D25" s="60" t="e">
        <f t="shared" si="3"/>
        <v>#N/A</v>
      </c>
      <c r="E25" s="44">
        <f t="shared" si="0"/>
        <v>0</v>
      </c>
      <c r="F25" s="51">
        <v>5.0000000000000001E-3</v>
      </c>
      <c r="G25" s="46">
        <f t="shared" si="1"/>
        <v>0</v>
      </c>
      <c r="H25" s="47" t="e" cm="1">
        <f t="array" ref="H25">_xlfn.IFS($B25=$Q24,"FACTURA",$B25=$Q25,"COMERCIALIZADORA",$B25=$Q26,"FACTURA")</f>
        <v>#N/A</v>
      </c>
      <c r="I25" s="49"/>
      <c r="J25" s="48">
        <f t="shared" si="2"/>
        <v>0</v>
      </c>
      <c r="K25" s="17"/>
      <c r="M25" s="64" t="s">
        <v>106</v>
      </c>
      <c r="N25" s="64" t="s">
        <v>107</v>
      </c>
      <c r="P25" s="66" t="s">
        <v>13</v>
      </c>
    </row>
    <row r="26" spans="2:19" ht="15.75" hidden="1" x14ac:dyDescent="0.25">
      <c r="B26" s="50" t="e" cm="1">
        <f t="array" ref="B26">_xlfn.IFS(C22=P37,Q25,C22=P38,Q26)</f>
        <v>#N/A</v>
      </c>
      <c r="C26" s="52"/>
      <c r="D26" s="60" t="e">
        <f t="shared" si="3"/>
        <v>#N/A</v>
      </c>
      <c r="E26" s="44">
        <f t="shared" si="0"/>
        <v>0</v>
      </c>
      <c r="F26" s="51">
        <v>1E-3</v>
      </c>
      <c r="G26" s="46">
        <f t="shared" si="1"/>
        <v>0</v>
      </c>
      <c r="H26" s="47" t="e" cm="1">
        <f t="array" ref="H26">_xlfn.IFS($B26=$Q25,"FACTURA",$B26=$Q26,"COMERCIALIZADORA",$B26=$Q27,"FACTURA")</f>
        <v>#N/A</v>
      </c>
      <c r="I26" s="49"/>
      <c r="J26" s="48">
        <f t="shared" si="2"/>
        <v>0</v>
      </c>
      <c r="K26" s="17"/>
      <c r="M26" s="64" t="s">
        <v>108</v>
      </c>
      <c r="N26" s="64" t="s">
        <v>109</v>
      </c>
      <c r="P26" s="66" t="s">
        <v>40</v>
      </c>
    </row>
    <row r="27" spans="2:19" ht="15.75" hidden="1" x14ac:dyDescent="0.25">
      <c r="B27" s="53" t="e" cm="1">
        <f t="array" ref="B27">_xlfn.IFS(C23=P38,Q26,C23=P39,Q27)</f>
        <v>#N/A</v>
      </c>
      <c r="C27" s="54"/>
      <c r="D27" s="62" t="e">
        <f t="shared" si="3"/>
        <v>#N/A</v>
      </c>
      <c r="E27" s="55">
        <f t="shared" si="0"/>
        <v>0</v>
      </c>
      <c r="F27" s="56">
        <v>0.01</v>
      </c>
      <c r="G27" s="57">
        <f t="shared" si="1"/>
        <v>0</v>
      </c>
      <c r="H27" s="47" t="e" cm="1">
        <f t="array" ref="H27">_xlfn.IFS($B27=$Q26,"FACTURA",$B27=$Q27,"COMERCIALIZADORA",$B27=$Q28,"FACTURA")</f>
        <v>#N/A</v>
      </c>
      <c r="I27" s="58"/>
      <c r="J27" s="59">
        <f t="shared" si="2"/>
        <v>0</v>
      </c>
      <c r="M27" s="64" t="s">
        <v>110</v>
      </c>
      <c r="N27" s="64" t="s">
        <v>111</v>
      </c>
      <c r="P27" s="66" t="s">
        <v>38</v>
      </c>
    </row>
    <row r="28" spans="2:19" ht="21" x14ac:dyDescent="0.25">
      <c r="F28" s="18">
        <f>SUBTOTAL(109,COMISIONES[% COMISIÓN ])</f>
        <v>0.01</v>
      </c>
      <c r="G28" s="19">
        <f>SUBTOTAL(109,COMISIONES[IMPORTE])</f>
        <v>0</v>
      </c>
      <c r="H28" s="19"/>
      <c r="I28" s="19"/>
      <c r="J28" s="19">
        <f>SUBTOTAL(109,COMISIONES[PAGAR])</f>
        <v>0</v>
      </c>
      <c r="M28" s="64" t="s">
        <v>112</v>
      </c>
      <c r="N28" s="64" t="s">
        <v>113</v>
      </c>
      <c r="P28" s="66" t="s">
        <v>39</v>
      </c>
    </row>
    <row r="29" spans="2:19" ht="21" x14ac:dyDescent="0.25">
      <c r="F29" s="18"/>
      <c r="G29" s="19"/>
      <c r="H29" s="19"/>
      <c r="I29" s="19"/>
      <c r="J29" s="19"/>
      <c r="M29" s="64" t="s">
        <v>114</v>
      </c>
      <c r="N29" s="64" t="s">
        <v>115</v>
      </c>
      <c r="P29" s="66" t="s">
        <v>24</v>
      </c>
    </row>
    <row r="30" spans="2:19" ht="21" x14ac:dyDescent="0.25">
      <c r="B30" s="36" t="s">
        <v>43</v>
      </c>
      <c r="F30" s="20"/>
      <c r="G30" s="21"/>
      <c r="H30" s="21"/>
      <c r="M30" s="64" t="s">
        <v>116</v>
      </c>
      <c r="N30" s="64" t="s">
        <v>117</v>
      </c>
      <c r="P30" s="66" t="s">
        <v>25</v>
      </c>
    </row>
    <row r="31" spans="2:19" x14ac:dyDescent="0.25">
      <c r="B31" s="22"/>
      <c r="C31" s="22"/>
      <c r="D31" s="22"/>
      <c r="E31" s="22"/>
      <c r="F31" s="22"/>
      <c r="G31" s="22"/>
      <c r="H31" s="22"/>
      <c r="M31" s="64" t="s">
        <v>116</v>
      </c>
      <c r="P31" s="66" t="s">
        <v>40</v>
      </c>
    </row>
    <row r="32" spans="2:19" x14ac:dyDescent="0.25">
      <c r="B32" s="22"/>
      <c r="C32" s="22"/>
      <c r="D32" s="22"/>
      <c r="E32" s="22"/>
      <c r="F32" s="22"/>
      <c r="G32" s="22"/>
      <c r="H32" s="22"/>
      <c r="M32" s="64" t="s">
        <v>118</v>
      </c>
      <c r="N32" s="64" t="s">
        <v>119</v>
      </c>
      <c r="P32" s="66"/>
    </row>
    <row r="33" spans="2:16" x14ac:dyDescent="0.25">
      <c r="B33" s="22"/>
      <c r="C33" s="22"/>
      <c r="D33" s="22"/>
      <c r="E33" s="22"/>
      <c r="F33" s="22"/>
      <c r="G33" s="22"/>
      <c r="H33" s="22"/>
      <c r="M33" s="64" t="s">
        <v>120</v>
      </c>
      <c r="N33" s="64" t="s">
        <v>121</v>
      </c>
      <c r="P33" s="66" t="s">
        <v>22</v>
      </c>
    </row>
    <row r="34" spans="2:16" x14ac:dyDescent="0.25">
      <c r="B34" s="22"/>
      <c r="C34" s="22"/>
      <c r="D34" s="22"/>
      <c r="E34" s="22"/>
      <c r="F34" s="22"/>
      <c r="G34" s="22"/>
      <c r="H34" s="22"/>
      <c r="M34" s="64" t="s">
        <v>122</v>
      </c>
      <c r="N34" s="64" t="s">
        <v>123</v>
      </c>
      <c r="P34" s="66" t="s">
        <v>41</v>
      </c>
    </row>
    <row r="35" spans="2:16" x14ac:dyDescent="0.25">
      <c r="B35" s="22"/>
      <c r="C35" s="22"/>
      <c r="D35" s="22"/>
      <c r="E35" s="22"/>
      <c r="F35" s="22"/>
      <c r="G35" s="22"/>
      <c r="H35" s="22"/>
      <c r="M35" s="64" t="s">
        <v>124</v>
      </c>
      <c r="N35" s="64" t="s">
        <v>125</v>
      </c>
      <c r="P35" s="66" t="s">
        <v>42</v>
      </c>
    </row>
    <row r="36" spans="2:16" x14ac:dyDescent="0.25">
      <c r="B36" s="22"/>
      <c r="C36" s="22"/>
      <c r="D36" s="22"/>
      <c r="E36" s="22"/>
      <c r="F36" s="22"/>
      <c r="G36" s="22"/>
      <c r="H36" s="22"/>
      <c r="M36" s="64" t="s">
        <v>126</v>
      </c>
      <c r="N36" s="64" t="s">
        <v>127</v>
      </c>
    </row>
    <row r="37" spans="2:16" x14ac:dyDescent="0.25">
      <c r="B37" s="22"/>
      <c r="C37" s="22"/>
      <c r="D37" s="22"/>
      <c r="E37" s="22"/>
      <c r="F37" s="22"/>
      <c r="G37" s="22"/>
      <c r="H37" s="22"/>
      <c r="M37" s="64" t="s">
        <v>128</v>
      </c>
      <c r="N37" s="64" t="s">
        <v>129</v>
      </c>
      <c r="P37" s="66" t="s">
        <v>44</v>
      </c>
    </row>
    <row r="38" spans="2:16" x14ac:dyDescent="0.25">
      <c r="B38" s="22"/>
      <c r="C38" s="22"/>
      <c r="D38" s="22"/>
      <c r="E38" s="22"/>
      <c r="F38" s="22"/>
      <c r="G38" s="22"/>
      <c r="H38" s="22"/>
      <c r="M38" s="64" t="s">
        <v>130</v>
      </c>
      <c r="N38" s="64" t="s">
        <v>131</v>
      </c>
      <c r="P38" s="66" t="s">
        <v>45</v>
      </c>
    </row>
    <row r="39" spans="2:16" x14ac:dyDescent="0.25">
      <c r="B39" s="22"/>
      <c r="C39" s="22"/>
      <c r="D39" s="22"/>
      <c r="E39" s="22"/>
      <c r="F39" s="22"/>
      <c r="G39" s="22"/>
      <c r="H39" s="22"/>
      <c r="M39" s="64" t="s">
        <v>132</v>
      </c>
      <c r="N39" s="64" t="s">
        <v>133</v>
      </c>
      <c r="P39" s="66" t="s">
        <v>46</v>
      </c>
    </row>
    <row r="40" spans="2:16" x14ac:dyDescent="0.25">
      <c r="B40" s="22"/>
      <c r="C40" s="22"/>
      <c r="D40" s="22"/>
      <c r="E40" s="22"/>
      <c r="F40" s="22"/>
      <c r="G40" s="22"/>
      <c r="H40" s="22"/>
      <c r="M40" s="64" t="s">
        <v>134</v>
      </c>
      <c r="N40" s="64" t="s">
        <v>135</v>
      </c>
      <c r="P40" s="66" t="s">
        <v>47</v>
      </c>
    </row>
    <row r="41" spans="2:16" x14ac:dyDescent="0.25">
      <c r="B41" s="22"/>
      <c r="C41" s="22"/>
      <c r="D41" s="22"/>
      <c r="E41" s="22"/>
      <c r="F41" s="22"/>
      <c r="G41" s="22"/>
      <c r="H41" s="22"/>
      <c r="M41" s="64" t="s">
        <v>136</v>
      </c>
      <c r="N41" s="64" t="s">
        <v>137</v>
      </c>
    </row>
    <row r="42" spans="2:16" x14ac:dyDescent="0.25">
      <c r="B42" s="22"/>
      <c r="C42" s="22"/>
      <c r="D42" s="22"/>
      <c r="E42" s="22"/>
      <c r="F42" s="22"/>
      <c r="G42" s="22"/>
      <c r="H42" s="22"/>
      <c r="M42" s="64" t="s">
        <v>138</v>
      </c>
      <c r="N42" s="64" t="s">
        <v>139</v>
      </c>
    </row>
    <row r="43" spans="2:16" x14ac:dyDescent="0.25">
      <c r="B43" s="22"/>
      <c r="C43" s="22"/>
      <c r="D43" s="22"/>
      <c r="E43" s="22"/>
      <c r="F43" s="22"/>
      <c r="G43" s="22"/>
      <c r="H43" s="22"/>
      <c r="M43" s="64" t="s">
        <v>140</v>
      </c>
      <c r="N43" s="64" t="s">
        <v>141</v>
      </c>
    </row>
    <row r="44" spans="2:16" x14ac:dyDescent="0.25">
      <c r="B44" s="71"/>
      <c r="C44" s="71"/>
      <c r="D44" s="71"/>
      <c r="E44" s="71"/>
      <c r="F44" s="71"/>
      <c r="G44" s="71"/>
      <c r="H44" s="22"/>
      <c r="M44" s="64" t="s">
        <v>142</v>
      </c>
      <c r="N44" s="64" t="s">
        <v>143</v>
      </c>
    </row>
    <row r="45" spans="2:16" x14ac:dyDescent="0.25">
      <c r="B45" s="23"/>
      <c r="M45" s="64" t="s">
        <v>144</v>
      </c>
      <c r="N45" s="64" t="s">
        <v>145</v>
      </c>
    </row>
    <row r="46" spans="2:16" x14ac:dyDescent="0.25">
      <c r="B46" s="23"/>
      <c r="M46" s="64" t="s">
        <v>146</v>
      </c>
      <c r="N46" s="64" t="s">
        <v>147</v>
      </c>
    </row>
    <row r="47" spans="2:16" x14ac:dyDescent="0.25">
      <c r="B47" s="23"/>
      <c r="M47" s="64" t="s">
        <v>148</v>
      </c>
      <c r="N47" s="64" t="s">
        <v>149</v>
      </c>
    </row>
    <row r="48" spans="2:16" x14ac:dyDescent="0.25">
      <c r="B48" s="23"/>
      <c r="M48" s="66" t="s">
        <v>159</v>
      </c>
      <c r="N48" s="64" t="s">
        <v>150</v>
      </c>
    </row>
    <row r="49" spans="1:21" x14ac:dyDescent="0.25">
      <c r="B49" s="23"/>
      <c r="M49" s="64" t="s">
        <v>151</v>
      </c>
      <c r="N49" s="64" t="s">
        <v>152</v>
      </c>
    </row>
    <row r="50" spans="1:21" x14ac:dyDescent="0.25">
      <c r="B50" s="23"/>
      <c r="M50" s="64" t="s">
        <v>153</v>
      </c>
      <c r="N50" s="64" t="s">
        <v>154</v>
      </c>
    </row>
    <row r="51" spans="1:21" x14ac:dyDescent="0.25">
      <c r="B51" s="23"/>
      <c r="M51" s="64" t="s">
        <v>155</v>
      </c>
      <c r="N51" s="64" t="s">
        <v>156</v>
      </c>
    </row>
    <row r="52" spans="1:21" x14ac:dyDescent="0.25">
      <c r="B52" s="23"/>
      <c r="M52" s="64" t="s">
        <v>157</v>
      </c>
      <c r="N52" s="64" t="s">
        <v>158</v>
      </c>
    </row>
    <row r="53" spans="1:21" x14ac:dyDescent="0.25">
      <c r="B53" s="23"/>
      <c r="M53" s="64" t="s">
        <v>159</v>
      </c>
      <c r="N53" s="64" t="s">
        <v>150</v>
      </c>
    </row>
    <row r="54" spans="1:21" s="2" customFormat="1" x14ac:dyDescent="0.25">
      <c r="A54" s="1"/>
      <c r="B54" s="23"/>
      <c r="E54" s="1"/>
      <c r="F54" s="1"/>
      <c r="G54" s="3"/>
      <c r="H54" s="3"/>
      <c r="I54" s="1"/>
      <c r="J54" s="1"/>
      <c r="L54" s="68"/>
      <c r="M54" s="68" t="s">
        <v>160</v>
      </c>
      <c r="N54" s="68" t="s">
        <v>161</v>
      </c>
      <c r="O54" s="68"/>
      <c r="P54" s="68"/>
      <c r="Q54" s="68"/>
      <c r="R54" s="68"/>
      <c r="S54" s="68"/>
      <c r="T54" s="68"/>
      <c r="U54" s="68"/>
    </row>
    <row r="55" spans="1:21" s="2" customFormat="1" x14ac:dyDescent="0.25">
      <c r="A55" s="1"/>
      <c r="B55" s="23"/>
      <c r="E55" s="1"/>
      <c r="F55" s="1"/>
      <c r="G55" s="3"/>
      <c r="H55" s="3"/>
      <c r="L55" s="68"/>
      <c r="M55" s="68" t="s">
        <v>162</v>
      </c>
      <c r="N55" s="68" t="s">
        <v>163</v>
      </c>
      <c r="O55" s="68"/>
      <c r="P55" s="68"/>
      <c r="Q55" s="68"/>
      <c r="R55" s="68"/>
      <c r="S55" s="68"/>
      <c r="T55" s="68"/>
      <c r="U55" s="68"/>
    </row>
    <row r="56" spans="1:21" s="2" customFormat="1" x14ac:dyDescent="0.25">
      <c r="A56" s="1"/>
      <c r="B56" s="23"/>
      <c r="E56" s="1"/>
      <c r="F56" s="1"/>
      <c r="G56" s="3"/>
      <c r="H56" s="3"/>
      <c r="L56" s="68"/>
      <c r="M56" s="68" t="s">
        <v>164</v>
      </c>
      <c r="N56" s="68" t="s">
        <v>165</v>
      </c>
      <c r="O56" s="68"/>
      <c r="P56" s="68"/>
      <c r="Q56" s="68"/>
      <c r="R56" s="68"/>
      <c r="S56" s="68"/>
      <c r="T56" s="68"/>
      <c r="U56" s="68"/>
    </row>
    <row r="57" spans="1:21" s="2" customFormat="1" x14ac:dyDescent="0.25">
      <c r="A57" s="1"/>
      <c r="B57" s="23"/>
      <c r="E57" s="1"/>
      <c r="F57" s="1"/>
      <c r="G57" s="3"/>
      <c r="H57" s="3"/>
      <c r="L57" s="68"/>
      <c r="M57" s="68" t="s">
        <v>166</v>
      </c>
      <c r="N57" s="68" t="s">
        <v>167</v>
      </c>
      <c r="O57" s="68"/>
      <c r="P57" s="68"/>
      <c r="Q57" s="68"/>
      <c r="R57" s="68"/>
      <c r="S57" s="68"/>
      <c r="T57" s="68"/>
      <c r="U57" s="68"/>
    </row>
    <row r="58" spans="1:21" s="2" customFormat="1" x14ac:dyDescent="0.25">
      <c r="A58" s="1"/>
      <c r="B58" s="1"/>
      <c r="E58" s="1"/>
      <c r="F58" s="1"/>
      <c r="G58" s="3"/>
      <c r="H58" s="3"/>
      <c r="L58" s="68"/>
      <c r="M58" s="68" t="s">
        <v>168</v>
      </c>
      <c r="N58" s="68" t="s">
        <v>169</v>
      </c>
      <c r="O58" s="68"/>
      <c r="P58" s="68"/>
      <c r="Q58" s="68"/>
      <c r="R58" s="68"/>
      <c r="S58" s="68"/>
      <c r="T58" s="68"/>
      <c r="U58" s="68"/>
    </row>
    <row r="59" spans="1:21" s="2" customFormat="1" x14ac:dyDescent="0.25">
      <c r="A59" s="1"/>
      <c r="B59" s="1"/>
      <c r="E59" s="1"/>
      <c r="F59" s="1"/>
      <c r="G59" s="3"/>
      <c r="H59" s="3"/>
      <c r="L59" s="68"/>
      <c r="M59" s="68" t="s">
        <v>170</v>
      </c>
      <c r="N59" s="68" t="s">
        <v>171</v>
      </c>
      <c r="O59" s="68"/>
      <c r="P59" s="68"/>
      <c r="Q59" s="68"/>
      <c r="R59" s="68"/>
      <c r="S59" s="68"/>
      <c r="T59" s="68"/>
      <c r="U59" s="68"/>
    </row>
    <row r="60" spans="1:21" s="2" customFormat="1" x14ac:dyDescent="0.25">
      <c r="A60" s="1"/>
      <c r="B60" s="1"/>
      <c r="E60" s="1"/>
      <c r="F60" s="1"/>
      <c r="G60" s="3"/>
      <c r="H60" s="3"/>
      <c r="L60" s="68"/>
      <c r="M60" s="68" t="s">
        <v>172</v>
      </c>
      <c r="N60" s="68" t="s">
        <v>173</v>
      </c>
      <c r="O60" s="68"/>
      <c r="P60" s="68"/>
      <c r="Q60" s="68"/>
      <c r="R60" s="68"/>
      <c r="S60" s="68"/>
      <c r="T60" s="68"/>
      <c r="U60" s="68"/>
    </row>
    <row r="61" spans="1:21" s="2" customFormat="1" x14ac:dyDescent="0.25">
      <c r="A61" s="1"/>
      <c r="B61" s="1"/>
      <c r="E61" s="1"/>
      <c r="F61" s="1"/>
      <c r="G61" s="3"/>
      <c r="H61" s="3"/>
      <c r="L61" s="68"/>
      <c r="M61" s="68" t="s">
        <v>174</v>
      </c>
      <c r="N61" s="68" t="s">
        <v>175</v>
      </c>
      <c r="O61" s="68"/>
      <c r="P61" s="68"/>
      <c r="Q61" s="68"/>
      <c r="R61" s="68"/>
      <c r="S61" s="68"/>
      <c r="T61" s="68"/>
      <c r="U61" s="68"/>
    </row>
    <row r="62" spans="1:21" s="2" customFormat="1" x14ac:dyDescent="0.25">
      <c r="A62" s="1"/>
      <c r="B62" s="1"/>
      <c r="E62" s="1"/>
      <c r="F62" s="1"/>
      <c r="G62" s="3"/>
      <c r="H62" s="3"/>
      <c r="L62" s="68"/>
      <c r="M62" s="68" t="s">
        <v>176</v>
      </c>
      <c r="N62" s="68" t="s">
        <v>177</v>
      </c>
      <c r="O62" s="68"/>
      <c r="P62" s="68"/>
      <c r="Q62" s="68"/>
      <c r="R62" s="68"/>
      <c r="S62" s="68"/>
      <c r="T62" s="68"/>
      <c r="U62" s="68"/>
    </row>
    <row r="63" spans="1:21" s="2" customFormat="1" x14ac:dyDescent="0.25">
      <c r="A63" s="1"/>
      <c r="B63" s="1"/>
      <c r="E63" s="1"/>
      <c r="F63" s="1"/>
      <c r="G63" s="3"/>
      <c r="H63" s="3"/>
      <c r="L63" s="68"/>
      <c r="M63" s="68" t="s">
        <v>178</v>
      </c>
      <c r="N63" s="68" t="s">
        <v>179</v>
      </c>
      <c r="O63" s="68"/>
      <c r="P63" s="68"/>
      <c r="Q63" s="68"/>
      <c r="R63" s="68"/>
      <c r="S63" s="68"/>
      <c r="T63" s="68"/>
      <c r="U63" s="68"/>
    </row>
    <row r="64" spans="1:21" s="2" customFormat="1" x14ac:dyDescent="0.25">
      <c r="A64" s="1"/>
      <c r="B64" s="1"/>
      <c r="E64" s="1"/>
      <c r="F64" s="1"/>
      <c r="G64" s="3"/>
      <c r="H64" s="3"/>
      <c r="L64" s="68"/>
      <c r="M64" s="68" t="s">
        <v>180</v>
      </c>
      <c r="N64" s="68" t="s">
        <v>181</v>
      </c>
      <c r="O64" s="68"/>
      <c r="P64" s="68"/>
      <c r="Q64" s="68"/>
      <c r="R64" s="68"/>
      <c r="S64" s="68"/>
      <c r="T64" s="68"/>
      <c r="U64" s="68"/>
    </row>
    <row r="65" spans="1:21" s="2" customFormat="1" x14ac:dyDescent="0.25">
      <c r="A65" s="1"/>
      <c r="B65" s="1"/>
      <c r="E65" s="1"/>
      <c r="F65" s="1"/>
      <c r="G65" s="3"/>
      <c r="H65" s="3"/>
      <c r="L65" s="68"/>
      <c r="M65" s="68" t="s">
        <v>182</v>
      </c>
      <c r="N65" s="68" t="s">
        <v>183</v>
      </c>
      <c r="O65" s="68"/>
      <c r="P65" s="68"/>
      <c r="Q65" s="68"/>
      <c r="R65" s="68"/>
      <c r="S65" s="68"/>
      <c r="T65" s="68"/>
      <c r="U65" s="68"/>
    </row>
    <row r="66" spans="1:21" s="2" customFormat="1" x14ac:dyDescent="0.25">
      <c r="A66" s="1"/>
      <c r="B66" s="1"/>
      <c r="E66" s="1"/>
      <c r="F66" s="1"/>
      <c r="G66" s="3"/>
      <c r="H66" s="3"/>
      <c r="L66" s="68"/>
      <c r="M66" s="68" t="s">
        <v>184</v>
      </c>
      <c r="N66" s="68" t="s">
        <v>185</v>
      </c>
      <c r="O66" s="68"/>
      <c r="P66" s="68"/>
      <c r="Q66" s="68"/>
      <c r="R66" s="68"/>
      <c r="S66" s="68"/>
      <c r="T66" s="68"/>
      <c r="U66" s="68"/>
    </row>
    <row r="67" spans="1:21" x14ac:dyDescent="0.25">
      <c r="I67" s="2"/>
      <c r="J67" s="2"/>
      <c r="M67" s="64" t="s">
        <v>186</v>
      </c>
      <c r="N67" s="64" t="s">
        <v>187</v>
      </c>
    </row>
    <row r="68" spans="1:21" x14ac:dyDescent="0.25">
      <c r="M68" s="64" t="s">
        <v>188</v>
      </c>
      <c r="N68" s="64" t="s">
        <v>189</v>
      </c>
    </row>
    <row r="69" spans="1:21" x14ac:dyDescent="0.25">
      <c r="M69" s="64" t="s">
        <v>190</v>
      </c>
      <c r="N69" s="64" t="s">
        <v>191</v>
      </c>
    </row>
    <row r="70" spans="1:21" x14ac:dyDescent="0.25">
      <c r="M70" s="64" t="s">
        <v>192</v>
      </c>
      <c r="N70" s="64" t="s">
        <v>193</v>
      </c>
    </row>
    <row r="71" spans="1:21" x14ac:dyDescent="0.25">
      <c r="M71" s="64" t="s">
        <v>194</v>
      </c>
      <c r="N71" s="64" t="s">
        <v>195</v>
      </c>
    </row>
    <row r="72" spans="1:21" x14ac:dyDescent="0.25">
      <c r="M72" s="64" t="s">
        <v>196</v>
      </c>
      <c r="N72" s="64" t="s">
        <v>197</v>
      </c>
    </row>
    <row r="73" spans="1:21" x14ac:dyDescent="0.25">
      <c r="M73" s="64" t="s">
        <v>198</v>
      </c>
      <c r="N73" s="64" t="s">
        <v>199</v>
      </c>
    </row>
    <row r="74" spans="1:21" x14ac:dyDescent="0.25">
      <c r="M74" s="64" t="s">
        <v>200</v>
      </c>
      <c r="N74" s="64" t="s">
        <v>201</v>
      </c>
    </row>
    <row r="75" spans="1:21" x14ac:dyDescent="0.25">
      <c r="M75" s="64" t="s">
        <v>202</v>
      </c>
      <c r="N75" s="64" t="s">
        <v>203</v>
      </c>
    </row>
    <row r="76" spans="1:21" x14ac:dyDescent="0.25">
      <c r="M76" s="64" t="s">
        <v>204</v>
      </c>
      <c r="N76" s="64" t="s">
        <v>205</v>
      </c>
    </row>
    <row r="77" spans="1:21" x14ac:dyDescent="0.25">
      <c r="M77" s="64" t="s">
        <v>206</v>
      </c>
      <c r="N77" s="64" t="s">
        <v>207</v>
      </c>
    </row>
    <row r="78" spans="1:21" x14ac:dyDescent="0.25">
      <c r="M78" s="64" t="s">
        <v>208</v>
      </c>
      <c r="N78" s="64" t="s">
        <v>209</v>
      </c>
    </row>
    <row r="79" spans="1:21" x14ac:dyDescent="0.25">
      <c r="M79" s="64" t="s">
        <v>210</v>
      </c>
      <c r="N79" s="64" t="s">
        <v>211</v>
      </c>
    </row>
    <row r="80" spans="1:21" x14ac:dyDescent="0.25">
      <c r="M80" s="64" t="s">
        <v>212</v>
      </c>
      <c r="N80" s="64" t="s">
        <v>213</v>
      </c>
    </row>
    <row r="81" spans="13:14" x14ac:dyDescent="0.25">
      <c r="M81" s="64" t="s">
        <v>214</v>
      </c>
      <c r="N81" s="64" t="s">
        <v>215</v>
      </c>
    </row>
    <row r="82" spans="13:14" x14ac:dyDescent="0.25">
      <c r="M82" s="64" t="s">
        <v>216</v>
      </c>
      <c r="N82" s="64" t="s">
        <v>217</v>
      </c>
    </row>
    <row r="83" spans="13:14" x14ac:dyDescent="0.25">
      <c r="M83" s="64" t="s">
        <v>218</v>
      </c>
      <c r="N83" s="64" t="s">
        <v>219</v>
      </c>
    </row>
    <row r="84" spans="13:14" x14ac:dyDescent="0.25">
      <c r="M84" s="64" t="s">
        <v>220</v>
      </c>
      <c r="N84" s="64" t="s">
        <v>221</v>
      </c>
    </row>
    <row r="85" spans="13:14" x14ac:dyDescent="0.25">
      <c r="M85" s="64" t="s">
        <v>222</v>
      </c>
      <c r="N85" s="64" t="s">
        <v>223</v>
      </c>
    </row>
    <row r="86" spans="13:14" x14ac:dyDescent="0.25">
      <c r="M86" s="64" t="s">
        <v>224</v>
      </c>
      <c r="N86" s="64" t="s">
        <v>225</v>
      </c>
    </row>
    <row r="87" spans="13:14" x14ac:dyDescent="0.25">
      <c r="M87" s="64" t="s">
        <v>226</v>
      </c>
      <c r="N87" s="64" t="s">
        <v>227</v>
      </c>
    </row>
    <row r="88" spans="13:14" x14ac:dyDescent="0.25">
      <c r="M88" s="64" t="s">
        <v>228</v>
      </c>
      <c r="N88" s="64" t="s">
        <v>229</v>
      </c>
    </row>
    <row r="89" spans="13:14" x14ac:dyDescent="0.25">
      <c r="M89" s="64" t="s">
        <v>230</v>
      </c>
      <c r="N89" s="64" t="s">
        <v>231</v>
      </c>
    </row>
    <row r="90" spans="13:14" x14ac:dyDescent="0.25">
      <c r="M90" s="64" t="s">
        <v>232</v>
      </c>
      <c r="N90" s="64" t="s">
        <v>233</v>
      </c>
    </row>
    <row r="91" spans="13:14" x14ac:dyDescent="0.25">
      <c r="M91" s="64" t="s">
        <v>234</v>
      </c>
      <c r="N91" s="64" t="s">
        <v>235</v>
      </c>
    </row>
    <row r="92" spans="13:14" x14ac:dyDescent="0.25">
      <c r="M92" s="64" t="s">
        <v>236</v>
      </c>
      <c r="N92" s="64" t="s">
        <v>237</v>
      </c>
    </row>
    <row r="93" spans="13:14" x14ac:dyDescent="0.25">
      <c r="M93" s="64" t="s">
        <v>238</v>
      </c>
      <c r="N93" s="64" t="s">
        <v>239</v>
      </c>
    </row>
    <row r="94" spans="13:14" x14ac:dyDescent="0.25">
      <c r="M94" s="64" t="s">
        <v>240</v>
      </c>
      <c r="N94" s="64" t="s">
        <v>241</v>
      </c>
    </row>
    <row r="95" spans="13:14" x14ac:dyDescent="0.25">
      <c r="M95" s="64" t="s">
        <v>242</v>
      </c>
      <c r="N95" s="64" t="s">
        <v>243</v>
      </c>
    </row>
    <row r="96" spans="13:14" x14ac:dyDescent="0.25">
      <c r="M96" s="64" t="s">
        <v>244</v>
      </c>
      <c r="N96" s="64" t="s">
        <v>245</v>
      </c>
    </row>
    <row r="97" spans="13:14" x14ac:dyDescent="0.25">
      <c r="M97" s="64" t="s">
        <v>246</v>
      </c>
      <c r="N97" s="64" t="s">
        <v>247</v>
      </c>
    </row>
    <row r="98" spans="13:14" x14ac:dyDescent="0.25">
      <c r="M98" s="64" t="s">
        <v>248</v>
      </c>
      <c r="N98" s="64" t="s">
        <v>249</v>
      </c>
    </row>
    <row r="99" spans="13:14" x14ac:dyDescent="0.25">
      <c r="M99" s="64" t="s">
        <v>250</v>
      </c>
      <c r="N99" s="64" t="s">
        <v>251</v>
      </c>
    </row>
    <row r="100" spans="13:14" x14ac:dyDescent="0.25">
      <c r="M100" s="64" t="s">
        <v>252</v>
      </c>
      <c r="N100" s="64" t="s">
        <v>253</v>
      </c>
    </row>
    <row r="101" spans="13:14" x14ac:dyDescent="0.25">
      <c r="M101" s="64" t="s">
        <v>254</v>
      </c>
      <c r="N101" s="64" t="s">
        <v>255</v>
      </c>
    </row>
    <row r="102" spans="13:14" x14ac:dyDescent="0.25">
      <c r="M102" s="64" t="s">
        <v>256</v>
      </c>
      <c r="N102" s="64" t="s">
        <v>257</v>
      </c>
    </row>
    <row r="103" spans="13:14" x14ac:dyDescent="0.25">
      <c r="M103" s="64" t="s">
        <v>258</v>
      </c>
      <c r="N103" s="64" t="s">
        <v>259</v>
      </c>
    </row>
    <row r="104" spans="13:14" x14ac:dyDescent="0.25">
      <c r="M104" s="64" t="s">
        <v>260</v>
      </c>
      <c r="N104" s="64" t="s">
        <v>261</v>
      </c>
    </row>
    <row r="105" spans="13:14" x14ac:dyDescent="0.25">
      <c r="M105" s="64" t="s">
        <v>262</v>
      </c>
      <c r="N105" s="64" t="s">
        <v>263</v>
      </c>
    </row>
    <row r="106" spans="13:14" x14ac:dyDescent="0.25">
      <c r="M106" s="64" t="s">
        <v>264</v>
      </c>
      <c r="N106" s="64" t="s">
        <v>265</v>
      </c>
    </row>
    <row r="107" spans="13:14" x14ac:dyDescent="0.25">
      <c r="M107" s="64" t="s">
        <v>266</v>
      </c>
      <c r="N107" s="64" t="s">
        <v>267</v>
      </c>
    </row>
    <row r="108" spans="13:14" x14ac:dyDescent="0.25">
      <c r="M108" s="64" t="s">
        <v>268</v>
      </c>
      <c r="N108" s="64" t="s">
        <v>269</v>
      </c>
    </row>
    <row r="109" spans="13:14" x14ac:dyDescent="0.25">
      <c r="M109" s="64" t="s">
        <v>270</v>
      </c>
      <c r="N109" s="64" t="s">
        <v>271</v>
      </c>
    </row>
    <row r="110" spans="13:14" x14ac:dyDescent="0.25">
      <c r="M110" s="64" t="s">
        <v>272</v>
      </c>
      <c r="N110" s="64" t="s">
        <v>273</v>
      </c>
    </row>
    <row r="111" spans="13:14" x14ac:dyDescent="0.25">
      <c r="M111" s="64" t="s">
        <v>274</v>
      </c>
      <c r="N111" s="64" t="s">
        <v>275</v>
      </c>
    </row>
    <row r="112" spans="13:14" x14ac:dyDescent="0.25">
      <c r="M112" s="64" t="s">
        <v>276</v>
      </c>
      <c r="N112" s="64" t="s">
        <v>277</v>
      </c>
    </row>
    <row r="113" spans="13:14" x14ac:dyDescent="0.25">
      <c r="M113" s="64" t="s">
        <v>278</v>
      </c>
      <c r="N113" s="64" t="s">
        <v>279</v>
      </c>
    </row>
    <row r="114" spans="13:14" x14ac:dyDescent="0.25">
      <c r="M114" s="64" t="s">
        <v>280</v>
      </c>
      <c r="N114" s="64" t="s">
        <v>281</v>
      </c>
    </row>
    <row r="115" spans="13:14" x14ac:dyDescent="0.25">
      <c r="M115" s="64" t="s">
        <v>282</v>
      </c>
      <c r="N115" s="64" t="s">
        <v>283</v>
      </c>
    </row>
    <row r="116" spans="13:14" x14ac:dyDescent="0.25">
      <c r="M116" s="64" t="s">
        <v>284</v>
      </c>
      <c r="N116" s="64" t="s">
        <v>285</v>
      </c>
    </row>
    <row r="117" spans="13:14" x14ac:dyDescent="0.25">
      <c r="M117" s="64" t="s">
        <v>286</v>
      </c>
      <c r="N117" s="64" t="s">
        <v>287</v>
      </c>
    </row>
    <row r="118" spans="13:14" x14ac:dyDescent="0.25">
      <c r="M118" s="64" t="s">
        <v>288</v>
      </c>
      <c r="N118" s="64" t="s">
        <v>289</v>
      </c>
    </row>
    <row r="119" spans="13:14" x14ac:dyDescent="0.25">
      <c r="M119" s="64" t="s">
        <v>290</v>
      </c>
      <c r="N119" s="64" t="s">
        <v>291</v>
      </c>
    </row>
    <row r="120" spans="13:14" x14ac:dyDescent="0.25">
      <c r="M120" s="64" t="s">
        <v>292</v>
      </c>
      <c r="N120" s="64" t="s">
        <v>293</v>
      </c>
    </row>
    <row r="121" spans="13:14" x14ac:dyDescent="0.25">
      <c r="M121" s="64" t="s">
        <v>294</v>
      </c>
      <c r="N121" s="64" t="s">
        <v>295</v>
      </c>
    </row>
    <row r="122" spans="13:14" x14ac:dyDescent="0.25">
      <c r="M122" s="64" t="s">
        <v>296</v>
      </c>
      <c r="N122" s="64" t="s">
        <v>297</v>
      </c>
    </row>
    <row r="123" spans="13:14" x14ac:dyDescent="0.25">
      <c r="M123" s="64" t="s">
        <v>298</v>
      </c>
      <c r="N123" s="64" t="s">
        <v>299</v>
      </c>
    </row>
    <row r="124" spans="13:14" x14ac:dyDescent="0.25">
      <c r="M124" s="64" t="s">
        <v>300</v>
      </c>
      <c r="N124" s="64" t="s">
        <v>301</v>
      </c>
    </row>
    <row r="125" spans="13:14" x14ac:dyDescent="0.25">
      <c r="M125" s="64" t="s">
        <v>302</v>
      </c>
      <c r="N125" s="64" t="s">
        <v>303</v>
      </c>
    </row>
    <row r="126" spans="13:14" x14ac:dyDescent="0.25">
      <c r="M126" s="64" t="s">
        <v>304</v>
      </c>
      <c r="N126" s="64" t="s">
        <v>305</v>
      </c>
    </row>
    <row r="127" spans="13:14" x14ac:dyDescent="0.25">
      <c r="M127" s="64" t="s">
        <v>306</v>
      </c>
      <c r="N127" s="64" t="s">
        <v>307</v>
      </c>
    </row>
    <row r="128" spans="13:14" x14ac:dyDescent="0.25">
      <c r="M128" s="64" t="s">
        <v>308</v>
      </c>
      <c r="N128" s="64" t="s">
        <v>309</v>
      </c>
    </row>
    <row r="129" spans="13:14" x14ac:dyDescent="0.25">
      <c r="M129" s="64" t="s">
        <v>310</v>
      </c>
      <c r="N129" s="64" t="s">
        <v>311</v>
      </c>
    </row>
    <row r="130" spans="13:14" x14ac:dyDescent="0.25">
      <c r="M130" s="64" t="s">
        <v>312</v>
      </c>
      <c r="N130" s="64" t="s">
        <v>313</v>
      </c>
    </row>
    <row r="131" spans="13:14" x14ac:dyDescent="0.25">
      <c r="M131" s="64" t="s">
        <v>314</v>
      </c>
      <c r="N131" s="64" t="s">
        <v>315</v>
      </c>
    </row>
    <row r="132" spans="13:14" x14ac:dyDescent="0.25">
      <c r="M132" s="64" t="s">
        <v>316</v>
      </c>
      <c r="N132" s="64" t="s">
        <v>317</v>
      </c>
    </row>
    <row r="133" spans="13:14" x14ac:dyDescent="0.25">
      <c r="M133" s="64" t="s">
        <v>318</v>
      </c>
      <c r="N133" s="64" t="s">
        <v>319</v>
      </c>
    </row>
    <row r="134" spans="13:14" x14ac:dyDescent="0.25">
      <c r="M134" s="64" t="s">
        <v>320</v>
      </c>
      <c r="N134" s="64" t="s">
        <v>321</v>
      </c>
    </row>
    <row r="135" spans="13:14" x14ac:dyDescent="0.25">
      <c r="M135" s="64" t="s">
        <v>322</v>
      </c>
      <c r="N135" s="64" t="s">
        <v>323</v>
      </c>
    </row>
    <row r="136" spans="13:14" x14ac:dyDescent="0.25">
      <c r="M136" s="64" t="s">
        <v>324</v>
      </c>
      <c r="N136" s="64" t="s">
        <v>325</v>
      </c>
    </row>
    <row r="137" spans="13:14" x14ac:dyDescent="0.25">
      <c r="M137" s="64" t="s">
        <v>326</v>
      </c>
      <c r="N137" s="64" t="s">
        <v>327</v>
      </c>
    </row>
    <row r="138" spans="13:14" x14ac:dyDescent="0.25">
      <c r="M138" s="64" t="s">
        <v>328</v>
      </c>
      <c r="N138" s="64" t="s">
        <v>329</v>
      </c>
    </row>
    <row r="139" spans="13:14" x14ac:dyDescent="0.25">
      <c r="M139" s="64" t="s">
        <v>330</v>
      </c>
      <c r="N139" s="64" t="s">
        <v>331</v>
      </c>
    </row>
    <row r="140" spans="13:14" x14ac:dyDescent="0.25">
      <c r="M140" s="64" t="s">
        <v>332</v>
      </c>
      <c r="N140" s="64" t="s">
        <v>333</v>
      </c>
    </row>
    <row r="141" spans="13:14" x14ac:dyDescent="0.25">
      <c r="M141" s="64" t="s">
        <v>334</v>
      </c>
      <c r="N141" s="64" t="s">
        <v>335</v>
      </c>
    </row>
    <row r="142" spans="13:14" x14ac:dyDescent="0.25">
      <c r="M142" s="64" t="s">
        <v>336</v>
      </c>
      <c r="N142" s="64" t="s">
        <v>337</v>
      </c>
    </row>
    <row r="143" spans="13:14" x14ac:dyDescent="0.25">
      <c r="M143" s="64" t="s">
        <v>338</v>
      </c>
      <c r="N143" s="64" t="s">
        <v>339</v>
      </c>
    </row>
    <row r="144" spans="13:14" x14ac:dyDescent="0.25">
      <c r="M144" s="64" t="s">
        <v>340</v>
      </c>
      <c r="N144" s="64" t="s">
        <v>341</v>
      </c>
    </row>
    <row r="145" spans="13:14" x14ac:dyDescent="0.25">
      <c r="M145" s="64" t="s">
        <v>342</v>
      </c>
      <c r="N145" s="64" t="s">
        <v>343</v>
      </c>
    </row>
    <row r="146" spans="13:14" x14ac:dyDescent="0.25">
      <c r="M146" s="64" t="s">
        <v>344</v>
      </c>
      <c r="N146" s="64" t="s">
        <v>345</v>
      </c>
    </row>
    <row r="147" spans="13:14" x14ac:dyDescent="0.25">
      <c r="M147" s="64" t="s">
        <v>346</v>
      </c>
      <c r="N147" s="64" t="s">
        <v>347</v>
      </c>
    </row>
    <row r="148" spans="13:14" x14ac:dyDescent="0.25">
      <c r="M148" s="64" t="s">
        <v>348</v>
      </c>
      <c r="N148" s="64" t="s">
        <v>349</v>
      </c>
    </row>
    <row r="149" spans="13:14" x14ac:dyDescent="0.25">
      <c r="M149" s="64" t="s">
        <v>350</v>
      </c>
      <c r="N149" s="64" t="s">
        <v>351</v>
      </c>
    </row>
    <row r="150" spans="13:14" x14ac:dyDescent="0.25">
      <c r="M150" s="64" t="s">
        <v>352</v>
      </c>
      <c r="N150" s="64" t="s">
        <v>353</v>
      </c>
    </row>
    <row r="151" spans="13:14" x14ac:dyDescent="0.25">
      <c r="M151" s="64" t="s">
        <v>354</v>
      </c>
      <c r="N151" s="64" t="s">
        <v>355</v>
      </c>
    </row>
    <row r="152" spans="13:14" x14ac:dyDescent="0.25">
      <c r="M152" s="64" t="s">
        <v>356</v>
      </c>
      <c r="N152" s="64" t="s">
        <v>357</v>
      </c>
    </row>
    <row r="153" spans="13:14" x14ac:dyDescent="0.25">
      <c r="M153" s="64" t="s">
        <v>358</v>
      </c>
      <c r="N153" s="64" t="s">
        <v>359</v>
      </c>
    </row>
    <row r="154" spans="13:14" x14ac:dyDescent="0.25">
      <c r="M154" s="64" t="s">
        <v>360</v>
      </c>
      <c r="N154" s="64" t="s">
        <v>361</v>
      </c>
    </row>
    <row r="155" spans="13:14" x14ac:dyDescent="0.25">
      <c r="M155" s="64" t="s">
        <v>362</v>
      </c>
      <c r="N155" s="64" t="s">
        <v>363</v>
      </c>
    </row>
    <row r="156" spans="13:14" x14ac:dyDescent="0.25">
      <c r="M156" s="64" t="s">
        <v>364</v>
      </c>
      <c r="N156" s="64" t="s">
        <v>365</v>
      </c>
    </row>
    <row r="157" spans="13:14" x14ac:dyDescent="0.25">
      <c r="M157" s="64" t="s">
        <v>366</v>
      </c>
      <c r="N157" s="64" t="s">
        <v>367</v>
      </c>
    </row>
    <row r="158" spans="13:14" x14ac:dyDescent="0.25">
      <c r="M158" s="64" t="s">
        <v>368</v>
      </c>
      <c r="N158" s="64" t="s">
        <v>369</v>
      </c>
    </row>
    <row r="159" spans="13:14" x14ac:dyDescent="0.25">
      <c r="M159" s="64" t="s">
        <v>370</v>
      </c>
      <c r="N159" s="64" t="s">
        <v>371</v>
      </c>
    </row>
    <row r="160" spans="13:14" x14ac:dyDescent="0.25">
      <c r="M160" s="64" t="s">
        <v>372</v>
      </c>
      <c r="N160" s="64" t="s">
        <v>373</v>
      </c>
    </row>
    <row r="161" spans="13:14" x14ac:dyDescent="0.25">
      <c r="M161" s="64" t="s">
        <v>374</v>
      </c>
      <c r="N161" s="64" t="s">
        <v>375</v>
      </c>
    </row>
    <row r="162" spans="13:14" x14ac:dyDescent="0.25">
      <c r="M162" s="64" t="s">
        <v>376</v>
      </c>
      <c r="N162" s="64" t="s">
        <v>377</v>
      </c>
    </row>
    <row r="163" spans="13:14" x14ac:dyDescent="0.25">
      <c r="M163" s="64" t="s">
        <v>378</v>
      </c>
      <c r="N163" s="64" t="s">
        <v>379</v>
      </c>
    </row>
    <row r="164" spans="13:14" x14ac:dyDescent="0.25">
      <c r="M164" s="64" t="s">
        <v>380</v>
      </c>
      <c r="N164" s="64" t="s">
        <v>381</v>
      </c>
    </row>
    <row r="165" spans="13:14" x14ac:dyDescent="0.25">
      <c r="M165" s="64" t="s">
        <v>382</v>
      </c>
      <c r="N165" s="64" t="s">
        <v>383</v>
      </c>
    </row>
    <row r="166" spans="13:14" x14ac:dyDescent="0.25">
      <c r="M166" s="64" t="s">
        <v>384</v>
      </c>
      <c r="N166" s="64" t="s">
        <v>385</v>
      </c>
    </row>
    <row r="167" spans="13:14" x14ac:dyDescent="0.25">
      <c r="M167" s="64" t="s">
        <v>386</v>
      </c>
      <c r="N167" s="64" t="s">
        <v>387</v>
      </c>
    </row>
    <row r="168" spans="13:14" x14ac:dyDescent="0.25">
      <c r="M168" s="64" t="s">
        <v>388</v>
      </c>
      <c r="N168" s="64" t="s">
        <v>389</v>
      </c>
    </row>
    <row r="169" spans="13:14" x14ac:dyDescent="0.25">
      <c r="M169" s="64" t="s">
        <v>390</v>
      </c>
      <c r="N169" s="64" t="s">
        <v>391</v>
      </c>
    </row>
    <row r="170" spans="13:14" x14ac:dyDescent="0.25">
      <c r="M170" s="64" t="s">
        <v>392</v>
      </c>
      <c r="N170" s="64" t="s">
        <v>393</v>
      </c>
    </row>
    <row r="171" spans="13:14" x14ac:dyDescent="0.25">
      <c r="M171" s="64" t="s">
        <v>394</v>
      </c>
      <c r="N171" s="64" t="s">
        <v>395</v>
      </c>
    </row>
    <row r="172" spans="13:14" x14ac:dyDescent="0.25">
      <c r="M172" s="64" t="s">
        <v>396</v>
      </c>
      <c r="N172" s="64" t="s">
        <v>397</v>
      </c>
    </row>
    <row r="173" spans="13:14" x14ac:dyDescent="0.25">
      <c r="M173" s="64" t="s">
        <v>398</v>
      </c>
      <c r="N173" s="64" t="s">
        <v>399</v>
      </c>
    </row>
    <row r="174" spans="13:14" x14ac:dyDescent="0.25">
      <c r="M174" s="64" t="s">
        <v>400</v>
      </c>
      <c r="N174" s="64" t="s">
        <v>401</v>
      </c>
    </row>
    <row r="175" spans="13:14" x14ac:dyDescent="0.25">
      <c r="M175" s="64" t="s">
        <v>402</v>
      </c>
      <c r="N175" s="64" t="s">
        <v>403</v>
      </c>
    </row>
    <row r="176" spans="13:14" x14ac:dyDescent="0.25">
      <c r="M176" s="64" t="s">
        <v>404</v>
      </c>
      <c r="N176" s="64" t="s">
        <v>405</v>
      </c>
    </row>
    <row r="177" spans="13:14" x14ac:dyDescent="0.25">
      <c r="M177" s="64" t="s">
        <v>406</v>
      </c>
      <c r="N177" s="64" t="s">
        <v>407</v>
      </c>
    </row>
    <row r="178" spans="13:14" x14ac:dyDescent="0.25">
      <c r="M178" s="64" t="s">
        <v>408</v>
      </c>
      <c r="N178" s="64" t="s">
        <v>409</v>
      </c>
    </row>
    <row r="179" spans="13:14" x14ac:dyDescent="0.25">
      <c r="M179" s="64" t="s">
        <v>410</v>
      </c>
      <c r="N179" s="64" t="s">
        <v>411</v>
      </c>
    </row>
    <row r="180" spans="13:14" x14ac:dyDescent="0.25">
      <c r="M180" s="64" t="s">
        <v>412</v>
      </c>
      <c r="N180" s="64" t="s">
        <v>413</v>
      </c>
    </row>
    <row r="181" spans="13:14" x14ac:dyDescent="0.25">
      <c r="M181" s="64" t="s">
        <v>414</v>
      </c>
      <c r="N181" s="64" t="s">
        <v>415</v>
      </c>
    </row>
    <row r="182" spans="13:14" x14ac:dyDescent="0.25">
      <c r="M182" s="64" t="s">
        <v>416</v>
      </c>
      <c r="N182" s="64" t="s">
        <v>417</v>
      </c>
    </row>
    <row r="183" spans="13:14" x14ac:dyDescent="0.25">
      <c r="M183" s="64" t="s">
        <v>418</v>
      </c>
      <c r="N183" s="64" t="s">
        <v>419</v>
      </c>
    </row>
    <row r="184" spans="13:14" x14ac:dyDescent="0.25">
      <c r="M184" s="64" t="s">
        <v>420</v>
      </c>
      <c r="N184" s="64" t="s">
        <v>421</v>
      </c>
    </row>
    <row r="185" spans="13:14" x14ac:dyDescent="0.25">
      <c r="M185" s="64" t="s">
        <v>422</v>
      </c>
      <c r="N185" s="64" t="s">
        <v>423</v>
      </c>
    </row>
    <row r="186" spans="13:14" x14ac:dyDescent="0.25">
      <c r="M186" s="64" t="s">
        <v>424</v>
      </c>
      <c r="N186" s="64" t="s">
        <v>425</v>
      </c>
    </row>
    <row r="187" spans="13:14" x14ac:dyDescent="0.25">
      <c r="M187" s="64" t="s">
        <v>426</v>
      </c>
      <c r="N187" s="64" t="s">
        <v>427</v>
      </c>
    </row>
    <row r="188" spans="13:14" x14ac:dyDescent="0.25">
      <c r="M188" s="64" t="s">
        <v>428</v>
      </c>
      <c r="N188" s="64" t="s">
        <v>429</v>
      </c>
    </row>
    <row r="189" spans="13:14" x14ac:dyDescent="0.25">
      <c r="M189" s="64" t="s">
        <v>430</v>
      </c>
      <c r="N189" s="64" t="s">
        <v>431</v>
      </c>
    </row>
    <row r="190" spans="13:14" x14ac:dyDescent="0.25">
      <c r="M190" s="64" t="s">
        <v>432</v>
      </c>
      <c r="N190" s="64" t="s">
        <v>433</v>
      </c>
    </row>
    <row r="191" spans="13:14" x14ac:dyDescent="0.25">
      <c r="M191" s="64" t="s">
        <v>434</v>
      </c>
      <c r="N191" s="64" t="s">
        <v>435</v>
      </c>
    </row>
    <row r="192" spans="13:14" x14ac:dyDescent="0.25">
      <c r="M192" s="64" t="s">
        <v>436</v>
      </c>
      <c r="N192" s="64" t="s">
        <v>437</v>
      </c>
    </row>
    <row r="193" spans="13:14" x14ac:dyDescent="0.25">
      <c r="M193" s="64" t="s">
        <v>438</v>
      </c>
      <c r="N193" s="64" t="s">
        <v>439</v>
      </c>
    </row>
    <row r="194" spans="13:14" x14ac:dyDescent="0.25">
      <c r="M194" s="64" t="s">
        <v>440</v>
      </c>
      <c r="N194" s="64" t="s">
        <v>441</v>
      </c>
    </row>
    <row r="195" spans="13:14" x14ac:dyDescent="0.25">
      <c r="M195" s="64" t="s">
        <v>442</v>
      </c>
      <c r="N195" s="64" t="s">
        <v>443</v>
      </c>
    </row>
    <row r="196" spans="13:14" x14ac:dyDescent="0.25">
      <c r="M196" s="64" t="s">
        <v>444</v>
      </c>
      <c r="N196" s="64" t="s">
        <v>445</v>
      </c>
    </row>
    <row r="197" spans="13:14" x14ac:dyDescent="0.25">
      <c r="M197" s="64" t="s">
        <v>446</v>
      </c>
      <c r="N197" s="64" t="s">
        <v>447</v>
      </c>
    </row>
    <row r="198" spans="13:14" x14ac:dyDescent="0.25">
      <c r="M198" s="64" t="s">
        <v>448</v>
      </c>
      <c r="N198" s="64" t="s">
        <v>449</v>
      </c>
    </row>
    <row r="199" spans="13:14" x14ac:dyDescent="0.25">
      <c r="M199" s="64" t="s">
        <v>450</v>
      </c>
      <c r="N199" s="64" t="s">
        <v>451</v>
      </c>
    </row>
    <row r="200" spans="13:14" x14ac:dyDescent="0.25">
      <c r="M200" s="64" t="s">
        <v>452</v>
      </c>
      <c r="N200" s="64" t="s">
        <v>453</v>
      </c>
    </row>
    <row r="201" spans="13:14" x14ac:dyDescent="0.25">
      <c r="M201" s="64" t="s">
        <v>454</v>
      </c>
      <c r="N201" s="64" t="s">
        <v>455</v>
      </c>
    </row>
    <row r="202" spans="13:14" x14ac:dyDescent="0.25">
      <c r="M202" s="64" t="s">
        <v>456</v>
      </c>
      <c r="N202" s="64" t="s">
        <v>457</v>
      </c>
    </row>
    <row r="203" spans="13:14" x14ac:dyDescent="0.25">
      <c r="M203" s="64" t="s">
        <v>458</v>
      </c>
      <c r="N203" s="64" t="s">
        <v>459</v>
      </c>
    </row>
    <row r="204" spans="13:14" x14ac:dyDescent="0.25">
      <c r="M204" s="64" t="s">
        <v>460</v>
      </c>
      <c r="N204" s="64" t="s">
        <v>461</v>
      </c>
    </row>
    <row r="205" spans="13:14" x14ac:dyDescent="0.25">
      <c r="M205" s="64" t="s">
        <v>462</v>
      </c>
      <c r="N205" s="64" t="s">
        <v>463</v>
      </c>
    </row>
    <row r="206" spans="13:14" x14ac:dyDescent="0.25">
      <c r="M206" s="64" t="s">
        <v>464</v>
      </c>
      <c r="N206" s="64" t="s">
        <v>465</v>
      </c>
    </row>
    <row r="207" spans="13:14" x14ac:dyDescent="0.25">
      <c r="M207" s="64" t="s">
        <v>466</v>
      </c>
      <c r="N207" s="64" t="s">
        <v>467</v>
      </c>
    </row>
    <row r="208" spans="13:14" x14ac:dyDescent="0.25">
      <c r="M208" s="64" t="s">
        <v>468</v>
      </c>
      <c r="N208" s="64" t="s">
        <v>469</v>
      </c>
    </row>
    <row r="209" spans="13:14" x14ac:dyDescent="0.25">
      <c r="M209" s="64" t="s">
        <v>470</v>
      </c>
      <c r="N209" s="64" t="s">
        <v>471</v>
      </c>
    </row>
    <row r="210" spans="13:14" x14ac:dyDescent="0.25">
      <c r="M210" s="64" t="s">
        <v>472</v>
      </c>
      <c r="N210" s="64" t="s">
        <v>473</v>
      </c>
    </row>
    <row r="211" spans="13:14" x14ac:dyDescent="0.25">
      <c r="M211" s="64" t="s">
        <v>474</v>
      </c>
      <c r="N211" s="64" t="s">
        <v>475</v>
      </c>
    </row>
    <row r="212" spans="13:14" x14ac:dyDescent="0.25">
      <c r="M212" s="64" t="s">
        <v>476</v>
      </c>
      <c r="N212" s="64" t="s">
        <v>477</v>
      </c>
    </row>
    <row r="213" spans="13:14" x14ac:dyDescent="0.25">
      <c r="M213" s="64" t="s">
        <v>478</v>
      </c>
      <c r="N213" s="64" t="s">
        <v>479</v>
      </c>
    </row>
    <row r="214" spans="13:14" x14ac:dyDescent="0.25">
      <c r="M214" s="64" t="s">
        <v>480</v>
      </c>
      <c r="N214" s="64" t="s">
        <v>481</v>
      </c>
    </row>
    <row r="215" spans="13:14" x14ac:dyDescent="0.25">
      <c r="M215" s="64" t="s">
        <v>482</v>
      </c>
      <c r="N215" s="64" t="s">
        <v>483</v>
      </c>
    </row>
    <row r="216" spans="13:14" x14ac:dyDescent="0.25">
      <c r="M216" s="64" t="s">
        <v>484</v>
      </c>
      <c r="N216" s="64" t="s">
        <v>485</v>
      </c>
    </row>
    <row r="217" spans="13:14" x14ac:dyDescent="0.25">
      <c r="M217" s="64" t="s">
        <v>486</v>
      </c>
      <c r="N217" s="64" t="s">
        <v>487</v>
      </c>
    </row>
    <row r="218" spans="13:14" x14ac:dyDescent="0.25">
      <c r="M218" s="64" t="s">
        <v>488</v>
      </c>
      <c r="N218" s="64" t="s">
        <v>489</v>
      </c>
    </row>
    <row r="219" spans="13:14" x14ac:dyDescent="0.25">
      <c r="M219" s="64" t="s">
        <v>490</v>
      </c>
      <c r="N219" s="64" t="s">
        <v>491</v>
      </c>
    </row>
    <row r="220" spans="13:14" x14ac:dyDescent="0.25">
      <c r="M220" s="64" t="s">
        <v>492</v>
      </c>
      <c r="N220" s="64" t="s">
        <v>493</v>
      </c>
    </row>
    <row r="221" spans="13:14" x14ac:dyDescent="0.25">
      <c r="M221" s="64" t="s">
        <v>494</v>
      </c>
      <c r="N221" s="64" t="s">
        <v>495</v>
      </c>
    </row>
    <row r="222" spans="13:14" x14ac:dyDescent="0.25">
      <c r="M222" s="64" t="s">
        <v>496</v>
      </c>
      <c r="N222" s="64" t="s">
        <v>497</v>
      </c>
    </row>
    <row r="223" spans="13:14" x14ac:dyDescent="0.25">
      <c r="M223" s="64" t="s">
        <v>498</v>
      </c>
      <c r="N223" s="64" t="s">
        <v>499</v>
      </c>
    </row>
    <row r="224" spans="13:14" x14ac:dyDescent="0.25">
      <c r="M224" s="64" t="s">
        <v>500</v>
      </c>
      <c r="N224" s="64" t="s">
        <v>501</v>
      </c>
    </row>
    <row r="225" spans="13:14" x14ac:dyDescent="0.25">
      <c r="M225" s="64" t="s">
        <v>502</v>
      </c>
      <c r="N225" s="64" t="s">
        <v>503</v>
      </c>
    </row>
    <row r="226" spans="13:14" x14ac:dyDescent="0.25">
      <c r="M226" s="64" t="s">
        <v>504</v>
      </c>
      <c r="N226" s="64" t="s">
        <v>505</v>
      </c>
    </row>
    <row r="227" spans="13:14" x14ac:dyDescent="0.25">
      <c r="M227" s="64" t="s">
        <v>506</v>
      </c>
      <c r="N227" s="64" t="s">
        <v>507</v>
      </c>
    </row>
    <row r="228" spans="13:14" x14ac:dyDescent="0.25">
      <c r="M228" s="64" t="s">
        <v>508</v>
      </c>
      <c r="N228" s="64" t="s">
        <v>509</v>
      </c>
    </row>
    <row r="229" spans="13:14" x14ac:dyDescent="0.25">
      <c r="M229" s="64" t="s">
        <v>510</v>
      </c>
      <c r="N229" s="64" t="s">
        <v>511</v>
      </c>
    </row>
    <row r="230" spans="13:14" x14ac:dyDescent="0.25">
      <c r="M230" s="64" t="s">
        <v>512</v>
      </c>
      <c r="N230" s="64" t="s">
        <v>513</v>
      </c>
    </row>
    <row r="231" spans="13:14" x14ac:dyDescent="0.25">
      <c r="M231" s="64" t="s">
        <v>514</v>
      </c>
      <c r="N231" s="64" t="s">
        <v>515</v>
      </c>
    </row>
    <row r="232" spans="13:14" x14ac:dyDescent="0.25">
      <c r="M232" s="64" t="s">
        <v>516</v>
      </c>
      <c r="N232" s="64" t="s">
        <v>517</v>
      </c>
    </row>
    <row r="233" spans="13:14" x14ac:dyDescent="0.25">
      <c r="M233" s="64" t="s">
        <v>518</v>
      </c>
      <c r="N233" s="64" t="s">
        <v>519</v>
      </c>
    </row>
    <row r="234" spans="13:14" x14ac:dyDescent="0.25">
      <c r="M234" s="64" t="s">
        <v>520</v>
      </c>
      <c r="N234" s="64" t="s">
        <v>521</v>
      </c>
    </row>
    <row r="235" spans="13:14" x14ac:dyDescent="0.25">
      <c r="M235" s="64" t="s">
        <v>522</v>
      </c>
      <c r="N235" s="64" t="s">
        <v>523</v>
      </c>
    </row>
    <row r="236" spans="13:14" x14ac:dyDescent="0.25">
      <c r="M236" s="64" t="s">
        <v>524</v>
      </c>
      <c r="N236" s="64" t="s">
        <v>525</v>
      </c>
    </row>
    <row r="237" spans="13:14" x14ac:dyDescent="0.25">
      <c r="M237" s="64" t="s">
        <v>526</v>
      </c>
      <c r="N237" s="64" t="s">
        <v>527</v>
      </c>
    </row>
    <row r="238" spans="13:14" x14ac:dyDescent="0.25">
      <c r="M238" s="64" t="s">
        <v>528</v>
      </c>
      <c r="N238" s="64" t="s">
        <v>529</v>
      </c>
    </row>
    <row r="239" spans="13:14" x14ac:dyDescent="0.25">
      <c r="M239" s="64" t="s">
        <v>530</v>
      </c>
      <c r="N239" s="64" t="s">
        <v>531</v>
      </c>
    </row>
    <row r="240" spans="13:14" x14ac:dyDescent="0.25">
      <c r="M240" s="64" t="s">
        <v>532</v>
      </c>
      <c r="N240" s="64" t="s">
        <v>533</v>
      </c>
    </row>
    <row r="241" spans="13:14" x14ac:dyDescent="0.25">
      <c r="M241" s="64" t="s">
        <v>534</v>
      </c>
      <c r="N241" s="64" t="s">
        <v>535</v>
      </c>
    </row>
    <row r="242" spans="13:14" x14ac:dyDescent="0.25">
      <c r="M242" s="64" t="s">
        <v>536</v>
      </c>
      <c r="N242" s="64" t="s">
        <v>537</v>
      </c>
    </row>
    <row r="243" spans="13:14" x14ac:dyDescent="0.25">
      <c r="M243" s="64" t="s">
        <v>538</v>
      </c>
      <c r="N243" s="64" t="s">
        <v>539</v>
      </c>
    </row>
    <row r="244" spans="13:14" x14ac:dyDescent="0.25">
      <c r="M244" s="64" t="s">
        <v>540</v>
      </c>
      <c r="N244" s="64" t="s">
        <v>541</v>
      </c>
    </row>
    <row r="245" spans="13:14" x14ac:dyDescent="0.25">
      <c r="M245" s="64" t="s">
        <v>542</v>
      </c>
      <c r="N245" s="64" t="s">
        <v>543</v>
      </c>
    </row>
    <row r="246" spans="13:14" x14ac:dyDescent="0.25">
      <c r="M246" s="64" t="s">
        <v>544</v>
      </c>
      <c r="N246" s="64" t="s">
        <v>545</v>
      </c>
    </row>
    <row r="247" spans="13:14" x14ac:dyDescent="0.25">
      <c r="M247" s="64" t="s">
        <v>546</v>
      </c>
      <c r="N247" s="64" t="s">
        <v>547</v>
      </c>
    </row>
    <row r="248" spans="13:14" x14ac:dyDescent="0.25">
      <c r="M248" s="64" t="s">
        <v>548</v>
      </c>
      <c r="N248" s="64" t="s">
        <v>549</v>
      </c>
    </row>
    <row r="249" spans="13:14" x14ac:dyDescent="0.25">
      <c r="M249" s="64" t="s">
        <v>550</v>
      </c>
      <c r="N249" s="64" t="s">
        <v>551</v>
      </c>
    </row>
    <row r="250" spans="13:14" x14ac:dyDescent="0.25">
      <c r="M250" s="64" t="s">
        <v>552</v>
      </c>
      <c r="N250" s="64" t="s">
        <v>553</v>
      </c>
    </row>
    <row r="251" spans="13:14" x14ac:dyDescent="0.25">
      <c r="M251" s="64" t="s">
        <v>554</v>
      </c>
      <c r="N251" s="64" t="s">
        <v>555</v>
      </c>
    </row>
    <row r="252" spans="13:14" x14ac:dyDescent="0.25">
      <c r="M252" s="64" t="s">
        <v>556</v>
      </c>
      <c r="N252" s="64" t="s">
        <v>557</v>
      </c>
    </row>
    <row r="253" spans="13:14" x14ac:dyDescent="0.25">
      <c r="M253" s="64" t="s">
        <v>558</v>
      </c>
      <c r="N253" s="64" t="s">
        <v>559</v>
      </c>
    </row>
    <row r="254" spans="13:14" x14ac:dyDescent="0.25">
      <c r="M254" s="64" t="s">
        <v>560</v>
      </c>
      <c r="N254" s="64" t="s">
        <v>561</v>
      </c>
    </row>
    <row r="255" spans="13:14" x14ac:dyDescent="0.25">
      <c r="M255" s="64" t="s">
        <v>562</v>
      </c>
      <c r="N255" s="64" t="s">
        <v>563</v>
      </c>
    </row>
    <row r="256" spans="13:14" x14ac:dyDescent="0.25">
      <c r="M256" s="64" t="s">
        <v>564</v>
      </c>
      <c r="N256" s="64" t="s">
        <v>565</v>
      </c>
    </row>
    <row r="257" spans="13:14" x14ac:dyDescent="0.25">
      <c r="M257" s="64" t="s">
        <v>566</v>
      </c>
      <c r="N257" s="64" t="s">
        <v>567</v>
      </c>
    </row>
    <row r="258" spans="13:14" x14ac:dyDescent="0.25">
      <c r="M258" s="64" t="s">
        <v>568</v>
      </c>
      <c r="N258" s="64" t="s">
        <v>569</v>
      </c>
    </row>
    <row r="259" spans="13:14" x14ac:dyDescent="0.25">
      <c r="M259" s="64" t="s">
        <v>570</v>
      </c>
      <c r="N259" s="64" t="s">
        <v>571</v>
      </c>
    </row>
    <row r="260" spans="13:14" x14ac:dyDescent="0.25">
      <c r="M260" s="64" t="s">
        <v>572</v>
      </c>
      <c r="N260" s="64" t="s">
        <v>573</v>
      </c>
    </row>
    <row r="261" spans="13:14" x14ac:dyDescent="0.25">
      <c r="M261" s="64" t="s">
        <v>574</v>
      </c>
      <c r="N261" s="64" t="s">
        <v>575</v>
      </c>
    </row>
    <row r="262" spans="13:14" x14ac:dyDescent="0.25">
      <c r="M262" s="64" t="s">
        <v>576</v>
      </c>
      <c r="N262" s="64" t="s">
        <v>577</v>
      </c>
    </row>
    <row r="263" spans="13:14" x14ac:dyDescent="0.25">
      <c r="M263" s="64" t="s">
        <v>578</v>
      </c>
      <c r="N263" s="64" t="s">
        <v>579</v>
      </c>
    </row>
    <row r="264" spans="13:14" x14ac:dyDescent="0.25">
      <c r="M264" s="64" t="s">
        <v>580</v>
      </c>
      <c r="N264" s="64" t="s">
        <v>581</v>
      </c>
    </row>
    <row r="265" spans="13:14" x14ac:dyDescent="0.25">
      <c r="M265" s="64" t="s">
        <v>582</v>
      </c>
      <c r="N265" s="64" t="s">
        <v>583</v>
      </c>
    </row>
    <row r="266" spans="13:14" x14ac:dyDescent="0.25">
      <c r="M266" s="64" t="s">
        <v>584</v>
      </c>
      <c r="N266" s="64" t="s">
        <v>585</v>
      </c>
    </row>
    <row r="267" spans="13:14" x14ac:dyDescent="0.25">
      <c r="M267" s="64" t="s">
        <v>586</v>
      </c>
      <c r="N267" s="64" t="s">
        <v>587</v>
      </c>
    </row>
    <row r="268" spans="13:14" x14ac:dyDescent="0.25">
      <c r="M268" s="64" t="s">
        <v>588</v>
      </c>
      <c r="N268" s="64" t="s">
        <v>589</v>
      </c>
    </row>
    <row r="269" spans="13:14" x14ac:dyDescent="0.25">
      <c r="M269" s="64" t="s">
        <v>590</v>
      </c>
      <c r="N269" s="64" t="s">
        <v>591</v>
      </c>
    </row>
    <row r="270" spans="13:14" x14ac:dyDescent="0.25">
      <c r="M270" s="64" t="s">
        <v>592</v>
      </c>
      <c r="N270" s="64" t="s">
        <v>593</v>
      </c>
    </row>
    <row r="271" spans="13:14" x14ac:dyDescent="0.25">
      <c r="M271" s="64" t="s">
        <v>594</v>
      </c>
      <c r="N271" s="64" t="s">
        <v>595</v>
      </c>
    </row>
    <row r="272" spans="13:14" x14ac:dyDescent="0.25">
      <c r="M272" s="64" t="s">
        <v>596</v>
      </c>
      <c r="N272" s="64" t="s">
        <v>597</v>
      </c>
    </row>
    <row r="273" spans="13:14" x14ac:dyDescent="0.25">
      <c r="M273" s="64" t="s">
        <v>598</v>
      </c>
      <c r="N273" s="64" t="s">
        <v>599</v>
      </c>
    </row>
    <row r="274" spans="13:14" x14ac:dyDescent="0.25">
      <c r="M274" s="64" t="s">
        <v>600</v>
      </c>
      <c r="N274" s="64" t="s">
        <v>601</v>
      </c>
    </row>
    <row r="275" spans="13:14" x14ac:dyDescent="0.25">
      <c r="M275" s="64" t="s">
        <v>602</v>
      </c>
      <c r="N275" s="64" t="s">
        <v>603</v>
      </c>
    </row>
    <row r="276" spans="13:14" x14ac:dyDescent="0.25">
      <c r="M276" s="64" t="s">
        <v>604</v>
      </c>
      <c r="N276" s="64" t="s">
        <v>605</v>
      </c>
    </row>
    <row r="277" spans="13:14" x14ac:dyDescent="0.25">
      <c r="M277" s="64" t="s">
        <v>606</v>
      </c>
      <c r="N277" s="64" t="s">
        <v>607</v>
      </c>
    </row>
    <row r="278" spans="13:14" x14ac:dyDescent="0.25">
      <c r="M278" s="64" t="s">
        <v>608</v>
      </c>
      <c r="N278" s="64" t="s">
        <v>609</v>
      </c>
    </row>
    <row r="279" spans="13:14" x14ac:dyDescent="0.25">
      <c r="M279" s="64" t="s">
        <v>610</v>
      </c>
      <c r="N279" s="64" t="s">
        <v>611</v>
      </c>
    </row>
    <row r="280" spans="13:14" x14ac:dyDescent="0.25">
      <c r="M280" s="64" t="s">
        <v>612</v>
      </c>
      <c r="N280" s="64" t="s">
        <v>613</v>
      </c>
    </row>
    <row r="281" spans="13:14" x14ac:dyDescent="0.25">
      <c r="M281" s="64" t="s">
        <v>614</v>
      </c>
      <c r="N281" s="64" t="s">
        <v>615</v>
      </c>
    </row>
    <row r="282" spans="13:14" x14ac:dyDescent="0.25">
      <c r="M282" s="64" t="s">
        <v>616</v>
      </c>
      <c r="N282" s="64" t="s">
        <v>617</v>
      </c>
    </row>
    <row r="283" spans="13:14" x14ac:dyDescent="0.25">
      <c r="M283" s="64" t="s">
        <v>618</v>
      </c>
      <c r="N283" s="64" t="s">
        <v>619</v>
      </c>
    </row>
    <row r="284" spans="13:14" x14ac:dyDescent="0.25">
      <c r="M284" s="64" t="s">
        <v>620</v>
      </c>
      <c r="N284" s="64" t="s">
        <v>621</v>
      </c>
    </row>
    <row r="285" spans="13:14" x14ac:dyDescent="0.25">
      <c r="M285" s="64" t="s">
        <v>622</v>
      </c>
      <c r="N285" s="64" t="s">
        <v>623</v>
      </c>
    </row>
    <row r="286" spans="13:14" x14ac:dyDescent="0.25">
      <c r="M286" s="64" t="s">
        <v>624</v>
      </c>
      <c r="N286" s="64" t="s">
        <v>625</v>
      </c>
    </row>
    <row r="287" spans="13:14" x14ac:dyDescent="0.25">
      <c r="M287" s="64" t="s">
        <v>626</v>
      </c>
      <c r="N287" s="64" t="s">
        <v>627</v>
      </c>
    </row>
    <row r="288" spans="13:14" x14ac:dyDescent="0.25">
      <c r="M288" s="64" t="s">
        <v>628</v>
      </c>
      <c r="N288" s="64" t="s">
        <v>629</v>
      </c>
    </row>
    <row r="289" spans="13:14" x14ac:dyDescent="0.25">
      <c r="M289" s="64" t="s">
        <v>630</v>
      </c>
      <c r="N289" s="64" t="s">
        <v>631</v>
      </c>
    </row>
    <row r="290" spans="13:14" x14ac:dyDescent="0.25">
      <c r="M290" s="64" t="s">
        <v>632</v>
      </c>
      <c r="N290" s="64" t="s">
        <v>633</v>
      </c>
    </row>
    <row r="291" spans="13:14" x14ac:dyDescent="0.25">
      <c r="M291" s="64" t="s">
        <v>634</v>
      </c>
      <c r="N291" s="64" t="s">
        <v>635</v>
      </c>
    </row>
    <row r="292" spans="13:14" x14ac:dyDescent="0.25">
      <c r="M292" s="64" t="s">
        <v>636</v>
      </c>
      <c r="N292" s="64" t="s">
        <v>637</v>
      </c>
    </row>
    <row r="293" spans="13:14" x14ac:dyDescent="0.25">
      <c r="M293" s="64" t="s">
        <v>638</v>
      </c>
      <c r="N293" s="64" t="s">
        <v>639</v>
      </c>
    </row>
    <row r="294" spans="13:14" x14ac:dyDescent="0.25">
      <c r="M294" s="64" t="s">
        <v>640</v>
      </c>
      <c r="N294" s="64" t="s">
        <v>641</v>
      </c>
    </row>
    <row r="295" spans="13:14" x14ac:dyDescent="0.25">
      <c r="M295" s="64" t="s">
        <v>642</v>
      </c>
      <c r="N295" s="64" t="s">
        <v>643</v>
      </c>
    </row>
    <row r="296" spans="13:14" x14ac:dyDescent="0.25">
      <c r="M296" s="64" t="s">
        <v>644</v>
      </c>
      <c r="N296" s="64" t="s">
        <v>645</v>
      </c>
    </row>
    <row r="297" spans="13:14" x14ac:dyDescent="0.25">
      <c r="M297" s="64" t="s">
        <v>646</v>
      </c>
      <c r="N297" s="64" t="s">
        <v>647</v>
      </c>
    </row>
    <row r="298" spans="13:14" x14ac:dyDescent="0.25">
      <c r="M298" s="64" t="s">
        <v>648</v>
      </c>
      <c r="N298" s="64" t="s">
        <v>649</v>
      </c>
    </row>
    <row r="299" spans="13:14" x14ac:dyDescent="0.25">
      <c r="M299" s="64" t="s">
        <v>650</v>
      </c>
      <c r="N299" s="64" t="s">
        <v>651</v>
      </c>
    </row>
    <row r="300" spans="13:14" x14ac:dyDescent="0.25">
      <c r="M300" s="64" t="s">
        <v>652</v>
      </c>
      <c r="N300" s="64" t="s">
        <v>653</v>
      </c>
    </row>
    <row r="301" spans="13:14" x14ac:dyDescent="0.25">
      <c r="M301" s="64" t="s">
        <v>654</v>
      </c>
      <c r="N301" s="64" t="s">
        <v>655</v>
      </c>
    </row>
    <row r="302" spans="13:14" x14ac:dyDescent="0.25">
      <c r="M302" s="64" t="s">
        <v>656</v>
      </c>
      <c r="N302" s="64" t="s">
        <v>657</v>
      </c>
    </row>
    <row r="303" spans="13:14" x14ac:dyDescent="0.25">
      <c r="M303" s="64" t="s">
        <v>658</v>
      </c>
      <c r="N303" s="64" t="s">
        <v>659</v>
      </c>
    </row>
    <row r="304" spans="13:14" x14ac:dyDescent="0.25">
      <c r="M304" s="64" t="s">
        <v>660</v>
      </c>
      <c r="N304" s="64" t="s">
        <v>661</v>
      </c>
    </row>
    <row r="305" spans="13:14" x14ac:dyDescent="0.25">
      <c r="M305" s="64" t="s">
        <v>662</v>
      </c>
      <c r="N305" s="64" t="s">
        <v>663</v>
      </c>
    </row>
    <row r="306" spans="13:14" x14ac:dyDescent="0.25">
      <c r="M306" s="64" t="s">
        <v>664</v>
      </c>
      <c r="N306" s="64" t="s">
        <v>665</v>
      </c>
    </row>
    <row r="307" spans="13:14" x14ac:dyDescent="0.25">
      <c r="M307" s="64" t="s">
        <v>666</v>
      </c>
      <c r="N307" s="64" t="s">
        <v>667</v>
      </c>
    </row>
    <row r="308" spans="13:14" x14ac:dyDescent="0.25">
      <c r="M308" s="64" t="s">
        <v>668</v>
      </c>
      <c r="N308" s="64" t="s">
        <v>669</v>
      </c>
    </row>
    <row r="309" spans="13:14" x14ac:dyDescent="0.25">
      <c r="M309" s="64" t="s">
        <v>670</v>
      </c>
      <c r="N309" s="64" t="s">
        <v>671</v>
      </c>
    </row>
    <row r="310" spans="13:14" x14ac:dyDescent="0.25">
      <c r="M310" s="64" t="s">
        <v>672</v>
      </c>
      <c r="N310" s="64" t="s">
        <v>673</v>
      </c>
    </row>
    <row r="311" spans="13:14" x14ac:dyDescent="0.25">
      <c r="M311" s="64" t="s">
        <v>674</v>
      </c>
      <c r="N311" s="64" t="s">
        <v>675</v>
      </c>
    </row>
    <row r="312" spans="13:14" x14ac:dyDescent="0.25">
      <c r="M312" s="64" t="s">
        <v>676</v>
      </c>
      <c r="N312" s="64" t="s">
        <v>677</v>
      </c>
    </row>
    <row r="313" spans="13:14" x14ac:dyDescent="0.25">
      <c r="M313" s="64" t="s">
        <v>678</v>
      </c>
      <c r="N313" s="64" t="s">
        <v>679</v>
      </c>
    </row>
    <row r="314" spans="13:14" x14ac:dyDescent="0.25">
      <c r="M314" s="64" t="s">
        <v>680</v>
      </c>
      <c r="N314" s="64" t="s">
        <v>681</v>
      </c>
    </row>
    <row r="315" spans="13:14" x14ac:dyDescent="0.25">
      <c r="M315" s="64" t="s">
        <v>682</v>
      </c>
      <c r="N315" s="64" t="s">
        <v>683</v>
      </c>
    </row>
    <row r="316" spans="13:14" x14ac:dyDescent="0.25">
      <c r="M316" s="64" t="s">
        <v>684</v>
      </c>
      <c r="N316" s="64" t="s">
        <v>685</v>
      </c>
    </row>
    <row r="317" spans="13:14" x14ac:dyDescent="0.25">
      <c r="M317" s="64" t="s">
        <v>686</v>
      </c>
      <c r="N317" s="64" t="s">
        <v>687</v>
      </c>
    </row>
    <row r="318" spans="13:14" x14ac:dyDescent="0.25">
      <c r="M318" s="64" t="s">
        <v>688</v>
      </c>
      <c r="N318" s="64" t="s">
        <v>689</v>
      </c>
    </row>
    <row r="319" spans="13:14" x14ac:dyDescent="0.25">
      <c r="M319" s="64" t="s">
        <v>690</v>
      </c>
      <c r="N319" s="64" t="s">
        <v>691</v>
      </c>
    </row>
    <row r="320" spans="13:14" x14ac:dyDescent="0.25">
      <c r="M320" s="64" t="s">
        <v>692</v>
      </c>
      <c r="N320" s="64" t="s">
        <v>693</v>
      </c>
    </row>
    <row r="321" spans="13:14" x14ac:dyDescent="0.25">
      <c r="M321" s="64" t="s">
        <v>694</v>
      </c>
      <c r="N321" s="64" t="s">
        <v>695</v>
      </c>
    </row>
    <row r="322" spans="13:14" x14ac:dyDescent="0.25">
      <c r="M322" s="64" t="s">
        <v>696</v>
      </c>
      <c r="N322" s="64" t="s">
        <v>697</v>
      </c>
    </row>
    <row r="323" spans="13:14" x14ac:dyDescent="0.25">
      <c r="M323" s="64" t="s">
        <v>698</v>
      </c>
      <c r="N323" s="64" t="s">
        <v>699</v>
      </c>
    </row>
    <row r="324" spans="13:14" x14ac:dyDescent="0.25">
      <c r="M324" s="64" t="s">
        <v>700</v>
      </c>
      <c r="N324" s="64" t="s">
        <v>701</v>
      </c>
    </row>
    <row r="325" spans="13:14" x14ac:dyDescent="0.25">
      <c r="M325" s="64" t="s">
        <v>702</v>
      </c>
      <c r="N325" s="64" t="s">
        <v>703</v>
      </c>
    </row>
    <row r="326" spans="13:14" x14ac:dyDescent="0.25">
      <c r="M326" s="64" t="s">
        <v>704</v>
      </c>
      <c r="N326" s="64" t="s">
        <v>705</v>
      </c>
    </row>
    <row r="327" spans="13:14" x14ac:dyDescent="0.25">
      <c r="M327" s="64" t="s">
        <v>706</v>
      </c>
      <c r="N327" s="64" t="s">
        <v>707</v>
      </c>
    </row>
    <row r="328" spans="13:14" x14ac:dyDescent="0.25">
      <c r="M328" s="64" t="s">
        <v>708</v>
      </c>
      <c r="N328" s="64" t="s">
        <v>709</v>
      </c>
    </row>
    <row r="329" spans="13:14" x14ac:dyDescent="0.25">
      <c r="M329" s="64" t="s">
        <v>710</v>
      </c>
      <c r="N329" s="64" t="s">
        <v>711</v>
      </c>
    </row>
    <row r="330" spans="13:14" x14ac:dyDescent="0.25">
      <c r="M330" s="64" t="s">
        <v>712</v>
      </c>
      <c r="N330" s="64" t="s">
        <v>713</v>
      </c>
    </row>
    <row r="331" spans="13:14" x14ac:dyDescent="0.25">
      <c r="M331" s="64" t="s">
        <v>714</v>
      </c>
      <c r="N331" s="64" t="s">
        <v>715</v>
      </c>
    </row>
    <row r="332" spans="13:14" x14ac:dyDescent="0.25">
      <c r="M332" s="64" t="s">
        <v>716</v>
      </c>
      <c r="N332" s="64" t="s">
        <v>717</v>
      </c>
    </row>
    <row r="333" spans="13:14" x14ac:dyDescent="0.25">
      <c r="M333" s="64" t="s">
        <v>718</v>
      </c>
      <c r="N333" s="64" t="s">
        <v>719</v>
      </c>
    </row>
    <row r="334" spans="13:14" x14ac:dyDescent="0.25">
      <c r="M334" s="64" t="s">
        <v>720</v>
      </c>
      <c r="N334" s="64" t="s">
        <v>721</v>
      </c>
    </row>
    <row r="335" spans="13:14" x14ac:dyDescent="0.25">
      <c r="M335" s="64" t="s">
        <v>722</v>
      </c>
      <c r="N335" s="64" t="s">
        <v>723</v>
      </c>
    </row>
    <row r="336" spans="13:14" x14ac:dyDescent="0.25">
      <c r="M336" s="64" t="s">
        <v>724</v>
      </c>
      <c r="N336" s="64" t="s">
        <v>725</v>
      </c>
    </row>
    <row r="337" spans="13:14" x14ac:dyDescent="0.25">
      <c r="M337" s="64" t="s">
        <v>726</v>
      </c>
      <c r="N337" s="64" t="s">
        <v>727</v>
      </c>
    </row>
    <row r="338" spans="13:14" x14ac:dyDescent="0.25">
      <c r="M338" s="64" t="s">
        <v>728</v>
      </c>
      <c r="N338" s="64" t="s">
        <v>729</v>
      </c>
    </row>
    <row r="339" spans="13:14" x14ac:dyDescent="0.25">
      <c r="M339" s="64" t="s">
        <v>730</v>
      </c>
      <c r="N339" s="64" t="s">
        <v>731</v>
      </c>
    </row>
    <row r="340" spans="13:14" x14ac:dyDescent="0.25">
      <c r="M340" s="64" t="s">
        <v>732</v>
      </c>
      <c r="N340" s="64" t="s">
        <v>733</v>
      </c>
    </row>
    <row r="341" spans="13:14" x14ac:dyDescent="0.25">
      <c r="M341" s="64" t="s">
        <v>734</v>
      </c>
      <c r="N341" s="64" t="s">
        <v>735</v>
      </c>
    </row>
    <row r="342" spans="13:14" x14ac:dyDescent="0.25">
      <c r="M342" s="64" t="s">
        <v>736</v>
      </c>
      <c r="N342" s="64" t="s">
        <v>737</v>
      </c>
    </row>
    <row r="343" spans="13:14" x14ac:dyDescent="0.25">
      <c r="M343" s="64" t="s">
        <v>738</v>
      </c>
      <c r="N343" s="64" t="s">
        <v>739</v>
      </c>
    </row>
    <row r="344" spans="13:14" x14ac:dyDescent="0.25">
      <c r="M344" s="64" t="s">
        <v>740</v>
      </c>
      <c r="N344" s="64" t="s">
        <v>741</v>
      </c>
    </row>
    <row r="345" spans="13:14" x14ac:dyDescent="0.25">
      <c r="M345" s="64" t="s">
        <v>742</v>
      </c>
      <c r="N345" s="64" t="s">
        <v>743</v>
      </c>
    </row>
    <row r="346" spans="13:14" x14ac:dyDescent="0.25">
      <c r="M346" s="64" t="s">
        <v>744</v>
      </c>
      <c r="N346" s="64" t="s">
        <v>745</v>
      </c>
    </row>
    <row r="347" spans="13:14" x14ac:dyDescent="0.25">
      <c r="M347" s="64" t="s">
        <v>746</v>
      </c>
      <c r="N347" s="64" t="s">
        <v>747</v>
      </c>
    </row>
    <row r="348" spans="13:14" x14ac:dyDescent="0.25">
      <c r="M348" s="64" t="s">
        <v>748</v>
      </c>
      <c r="N348" s="64" t="s">
        <v>749</v>
      </c>
    </row>
    <row r="349" spans="13:14" x14ac:dyDescent="0.25">
      <c r="M349" s="64" t="s">
        <v>750</v>
      </c>
      <c r="N349" s="64" t="s">
        <v>751</v>
      </c>
    </row>
    <row r="350" spans="13:14" x14ac:dyDescent="0.25">
      <c r="M350" s="64" t="s">
        <v>752</v>
      </c>
      <c r="N350" s="64" t="s">
        <v>753</v>
      </c>
    </row>
    <row r="351" spans="13:14" x14ac:dyDescent="0.25">
      <c r="M351" s="64" t="s">
        <v>754</v>
      </c>
      <c r="N351" s="64" t="s">
        <v>755</v>
      </c>
    </row>
    <row r="352" spans="13:14" x14ac:dyDescent="0.25">
      <c r="M352" s="64" t="s">
        <v>756</v>
      </c>
      <c r="N352" s="64" t="s">
        <v>757</v>
      </c>
    </row>
    <row r="353" spans="13:14" x14ac:dyDescent="0.25">
      <c r="M353" s="64" t="s">
        <v>758</v>
      </c>
      <c r="N353" s="64" t="s">
        <v>759</v>
      </c>
    </row>
    <row r="354" spans="13:14" x14ac:dyDescent="0.25">
      <c r="M354" s="64" t="s">
        <v>760</v>
      </c>
      <c r="N354" s="64" t="s">
        <v>761</v>
      </c>
    </row>
    <row r="355" spans="13:14" x14ac:dyDescent="0.25">
      <c r="M355" s="64" t="s">
        <v>762</v>
      </c>
      <c r="N355" s="64" t="s">
        <v>763</v>
      </c>
    </row>
    <row r="356" spans="13:14" x14ac:dyDescent="0.25">
      <c r="M356" s="64" t="s">
        <v>764</v>
      </c>
      <c r="N356" s="64" t="s">
        <v>765</v>
      </c>
    </row>
    <row r="357" spans="13:14" x14ac:dyDescent="0.25">
      <c r="M357" s="64" t="s">
        <v>766</v>
      </c>
      <c r="N357" s="64" t="s">
        <v>767</v>
      </c>
    </row>
    <row r="358" spans="13:14" x14ac:dyDescent="0.25">
      <c r="M358" s="64" t="s">
        <v>768</v>
      </c>
      <c r="N358" s="64" t="s">
        <v>769</v>
      </c>
    </row>
    <row r="359" spans="13:14" x14ac:dyDescent="0.25">
      <c r="M359" s="64" t="s">
        <v>770</v>
      </c>
      <c r="N359" s="64" t="s">
        <v>771</v>
      </c>
    </row>
    <row r="360" spans="13:14" x14ac:dyDescent="0.25">
      <c r="M360" s="64" t="s">
        <v>772</v>
      </c>
      <c r="N360" s="64" t="s">
        <v>773</v>
      </c>
    </row>
    <row r="361" spans="13:14" x14ac:dyDescent="0.25">
      <c r="M361" s="64" t="s">
        <v>774</v>
      </c>
      <c r="N361" s="64" t="s">
        <v>775</v>
      </c>
    </row>
    <row r="362" spans="13:14" x14ac:dyDescent="0.25">
      <c r="M362" s="64" t="s">
        <v>776</v>
      </c>
      <c r="N362" s="64" t="s">
        <v>777</v>
      </c>
    </row>
    <row r="363" spans="13:14" x14ac:dyDescent="0.25">
      <c r="M363" s="64" t="s">
        <v>778</v>
      </c>
      <c r="N363" s="64" t="s">
        <v>779</v>
      </c>
    </row>
    <row r="364" spans="13:14" x14ac:dyDescent="0.25">
      <c r="M364" s="64" t="s">
        <v>780</v>
      </c>
      <c r="N364" s="64" t="s">
        <v>781</v>
      </c>
    </row>
    <row r="365" spans="13:14" x14ac:dyDescent="0.25">
      <c r="M365" s="64" t="s">
        <v>782</v>
      </c>
      <c r="N365" s="64" t="s">
        <v>783</v>
      </c>
    </row>
    <row r="366" spans="13:14" x14ac:dyDescent="0.25">
      <c r="M366" s="64" t="s">
        <v>784</v>
      </c>
      <c r="N366" s="64" t="s">
        <v>785</v>
      </c>
    </row>
    <row r="367" spans="13:14" x14ac:dyDescent="0.25">
      <c r="M367" s="64" t="s">
        <v>786</v>
      </c>
      <c r="N367" s="64" t="s">
        <v>787</v>
      </c>
    </row>
    <row r="368" spans="13:14" x14ac:dyDescent="0.25">
      <c r="M368" s="64" t="s">
        <v>788</v>
      </c>
      <c r="N368" s="64" t="s">
        <v>789</v>
      </c>
    </row>
    <row r="369" spans="13:14" x14ac:dyDescent="0.25">
      <c r="M369" s="64" t="s">
        <v>790</v>
      </c>
      <c r="N369" s="64" t="s">
        <v>791</v>
      </c>
    </row>
    <row r="370" spans="13:14" x14ac:dyDescent="0.25">
      <c r="M370" s="64" t="s">
        <v>792</v>
      </c>
      <c r="N370" s="64" t="s">
        <v>793</v>
      </c>
    </row>
    <row r="371" spans="13:14" x14ac:dyDescent="0.25">
      <c r="M371" s="64" t="s">
        <v>794</v>
      </c>
      <c r="N371" s="64" t="s">
        <v>795</v>
      </c>
    </row>
    <row r="372" spans="13:14" x14ac:dyDescent="0.25">
      <c r="M372" s="64" t="s">
        <v>796</v>
      </c>
      <c r="N372" s="64" t="s">
        <v>797</v>
      </c>
    </row>
    <row r="373" spans="13:14" x14ac:dyDescent="0.25">
      <c r="M373" s="64" t="s">
        <v>798</v>
      </c>
      <c r="N373" s="64" t="s">
        <v>799</v>
      </c>
    </row>
    <row r="374" spans="13:14" x14ac:dyDescent="0.25">
      <c r="M374" s="64" t="s">
        <v>800</v>
      </c>
      <c r="N374" s="64" t="s">
        <v>801</v>
      </c>
    </row>
    <row r="375" spans="13:14" x14ac:dyDescent="0.25">
      <c r="M375" s="64" t="s">
        <v>802</v>
      </c>
      <c r="N375" s="64" t="s">
        <v>803</v>
      </c>
    </row>
    <row r="376" spans="13:14" x14ac:dyDescent="0.25">
      <c r="M376" s="64" t="s">
        <v>804</v>
      </c>
      <c r="N376" s="64" t="s">
        <v>805</v>
      </c>
    </row>
    <row r="377" spans="13:14" x14ac:dyDescent="0.25">
      <c r="M377" s="64" t="s">
        <v>806</v>
      </c>
      <c r="N377" s="64" t="s">
        <v>807</v>
      </c>
    </row>
    <row r="378" spans="13:14" x14ac:dyDescent="0.25">
      <c r="M378" s="64" t="s">
        <v>808</v>
      </c>
      <c r="N378" s="64" t="s">
        <v>809</v>
      </c>
    </row>
    <row r="379" spans="13:14" x14ac:dyDescent="0.25">
      <c r="M379" s="64" t="s">
        <v>810</v>
      </c>
      <c r="N379" s="64" t="s">
        <v>811</v>
      </c>
    </row>
    <row r="380" spans="13:14" x14ac:dyDescent="0.25">
      <c r="M380" s="64" t="s">
        <v>812</v>
      </c>
      <c r="N380" s="64" t="s">
        <v>813</v>
      </c>
    </row>
    <row r="381" spans="13:14" x14ac:dyDescent="0.25">
      <c r="M381" s="64" t="s">
        <v>814</v>
      </c>
      <c r="N381" s="64" t="s">
        <v>815</v>
      </c>
    </row>
    <row r="382" spans="13:14" x14ac:dyDescent="0.25">
      <c r="M382" s="64" t="s">
        <v>816</v>
      </c>
      <c r="N382" s="64" t="s">
        <v>817</v>
      </c>
    </row>
    <row r="383" spans="13:14" x14ac:dyDescent="0.25">
      <c r="M383" s="64" t="s">
        <v>818</v>
      </c>
      <c r="N383" s="64" t="s">
        <v>819</v>
      </c>
    </row>
    <row r="384" spans="13:14" x14ac:dyDescent="0.25">
      <c r="M384" s="64" t="s">
        <v>820</v>
      </c>
      <c r="N384" s="64" t="s">
        <v>821</v>
      </c>
    </row>
    <row r="385" spans="13:14" x14ac:dyDescent="0.25">
      <c r="M385" s="64" t="s">
        <v>822</v>
      </c>
      <c r="N385" s="64" t="s">
        <v>823</v>
      </c>
    </row>
    <row r="386" spans="13:14" x14ac:dyDescent="0.25">
      <c r="M386" s="64" t="s">
        <v>824</v>
      </c>
      <c r="N386" s="64" t="s">
        <v>825</v>
      </c>
    </row>
    <row r="387" spans="13:14" x14ac:dyDescent="0.25">
      <c r="M387" s="64" t="s">
        <v>826</v>
      </c>
      <c r="N387" s="64" t="s">
        <v>827</v>
      </c>
    </row>
    <row r="388" spans="13:14" x14ac:dyDescent="0.25">
      <c r="M388" s="64" t="s">
        <v>828</v>
      </c>
      <c r="N388" s="64" t="s">
        <v>829</v>
      </c>
    </row>
    <row r="389" spans="13:14" x14ac:dyDescent="0.25">
      <c r="M389" s="64" t="s">
        <v>830</v>
      </c>
      <c r="N389" s="64" t="s">
        <v>831</v>
      </c>
    </row>
    <row r="390" spans="13:14" x14ac:dyDescent="0.25">
      <c r="M390" s="64" t="s">
        <v>832</v>
      </c>
      <c r="N390" s="64" t="s">
        <v>833</v>
      </c>
    </row>
    <row r="391" spans="13:14" x14ac:dyDescent="0.25">
      <c r="M391" s="64" t="s">
        <v>834</v>
      </c>
      <c r="N391" s="64" t="s">
        <v>835</v>
      </c>
    </row>
    <row r="392" spans="13:14" x14ac:dyDescent="0.25">
      <c r="M392" s="64" t="s">
        <v>836</v>
      </c>
      <c r="N392" s="64" t="s">
        <v>837</v>
      </c>
    </row>
    <row r="393" spans="13:14" x14ac:dyDescent="0.25">
      <c r="M393" s="64" t="s">
        <v>838</v>
      </c>
      <c r="N393" s="64" t="s">
        <v>839</v>
      </c>
    </row>
    <row r="394" spans="13:14" x14ac:dyDescent="0.25">
      <c r="M394" s="64" t="s">
        <v>840</v>
      </c>
      <c r="N394" s="64" t="s">
        <v>841</v>
      </c>
    </row>
    <row r="395" spans="13:14" x14ac:dyDescent="0.25">
      <c r="M395" s="64" t="s">
        <v>842</v>
      </c>
      <c r="N395" s="64" t="s">
        <v>843</v>
      </c>
    </row>
    <row r="396" spans="13:14" x14ac:dyDescent="0.25">
      <c r="M396" s="64" t="s">
        <v>844</v>
      </c>
      <c r="N396" s="64" t="s">
        <v>845</v>
      </c>
    </row>
    <row r="397" spans="13:14" x14ac:dyDescent="0.25">
      <c r="M397" s="64" t="s">
        <v>846</v>
      </c>
      <c r="N397" s="64" t="s">
        <v>847</v>
      </c>
    </row>
    <row r="398" spans="13:14" x14ac:dyDescent="0.25">
      <c r="M398" s="64" t="s">
        <v>848</v>
      </c>
      <c r="N398" s="64" t="s">
        <v>849</v>
      </c>
    </row>
    <row r="399" spans="13:14" x14ac:dyDescent="0.25">
      <c r="M399" s="64" t="s">
        <v>850</v>
      </c>
      <c r="N399" s="64" t="s">
        <v>851</v>
      </c>
    </row>
    <row r="400" spans="13:14" x14ac:dyDescent="0.25">
      <c r="M400" s="64" t="s">
        <v>852</v>
      </c>
      <c r="N400" s="64" t="s">
        <v>853</v>
      </c>
    </row>
    <row r="401" spans="13:14" x14ac:dyDescent="0.25">
      <c r="M401" s="64" t="s">
        <v>854</v>
      </c>
      <c r="N401" s="64" t="s">
        <v>855</v>
      </c>
    </row>
    <row r="402" spans="13:14" x14ac:dyDescent="0.25">
      <c r="M402" s="64" t="s">
        <v>856</v>
      </c>
      <c r="N402" s="64" t="s">
        <v>857</v>
      </c>
    </row>
    <row r="403" spans="13:14" x14ac:dyDescent="0.25">
      <c r="M403" s="64" t="s">
        <v>858</v>
      </c>
      <c r="N403" s="64" t="s">
        <v>859</v>
      </c>
    </row>
    <row r="404" spans="13:14" x14ac:dyDescent="0.25">
      <c r="M404" s="64" t="s">
        <v>860</v>
      </c>
      <c r="N404" s="64" t="s">
        <v>861</v>
      </c>
    </row>
    <row r="405" spans="13:14" x14ac:dyDescent="0.25">
      <c r="M405" s="64" t="s">
        <v>862</v>
      </c>
      <c r="N405" s="64" t="s">
        <v>863</v>
      </c>
    </row>
    <row r="406" spans="13:14" x14ac:dyDescent="0.25">
      <c r="M406" s="64" t="s">
        <v>864</v>
      </c>
      <c r="N406" s="64" t="s">
        <v>865</v>
      </c>
    </row>
    <row r="407" spans="13:14" x14ac:dyDescent="0.25">
      <c r="M407" s="64" t="s">
        <v>866</v>
      </c>
      <c r="N407" s="64" t="s">
        <v>867</v>
      </c>
    </row>
    <row r="408" spans="13:14" x14ac:dyDescent="0.25">
      <c r="M408" s="64" t="s">
        <v>868</v>
      </c>
      <c r="N408" s="64" t="s">
        <v>869</v>
      </c>
    </row>
    <row r="409" spans="13:14" x14ac:dyDescent="0.25">
      <c r="M409" s="64" t="s">
        <v>870</v>
      </c>
      <c r="N409" s="64" t="s">
        <v>871</v>
      </c>
    </row>
    <row r="410" spans="13:14" x14ac:dyDescent="0.25">
      <c r="M410" s="64" t="s">
        <v>872</v>
      </c>
      <c r="N410" s="64" t="s">
        <v>873</v>
      </c>
    </row>
    <row r="411" spans="13:14" x14ac:dyDescent="0.25">
      <c r="M411" s="64" t="s">
        <v>874</v>
      </c>
      <c r="N411" s="64" t="s">
        <v>875</v>
      </c>
    </row>
    <row r="412" spans="13:14" x14ac:dyDescent="0.25">
      <c r="M412" s="64" t="s">
        <v>876</v>
      </c>
      <c r="N412" s="64" t="s">
        <v>877</v>
      </c>
    </row>
    <row r="413" spans="13:14" x14ac:dyDescent="0.25">
      <c r="M413" s="64" t="s">
        <v>878</v>
      </c>
      <c r="N413" s="64" t="s">
        <v>879</v>
      </c>
    </row>
    <row r="414" spans="13:14" x14ac:dyDescent="0.25">
      <c r="M414" s="64" t="s">
        <v>880</v>
      </c>
      <c r="N414" s="64" t="s">
        <v>881</v>
      </c>
    </row>
    <row r="415" spans="13:14" x14ac:dyDescent="0.25">
      <c r="M415" s="64" t="s">
        <v>882</v>
      </c>
      <c r="N415" s="64" t="s">
        <v>883</v>
      </c>
    </row>
    <row r="416" spans="13:14" x14ac:dyDescent="0.25">
      <c r="M416" s="64" t="s">
        <v>884</v>
      </c>
      <c r="N416" s="64" t="s">
        <v>885</v>
      </c>
    </row>
    <row r="417" spans="13:14" x14ac:dyDescent="0.25">
      <c r="M417" s="64" t="s">
        <v>886</v>
      </c>
      <c r="N417" s="64" t="s">
        <v>887</v>
      </c>
    </row>
    <row r="418" spans="13:14" x14ac:dyDescent="0.25">
      <c r="M418" s="64" t="s">
        <v>888</v>
      </c>
      <c r="N418" s="64" t="s">
        <v>889</v>
      </c>
    </row>
    <row r="419" spans="13:14" x14ac:dyDescent="0.25">
      <c r="M419" s="64" t="s">
        <v>890</v>
      </c>
      <c r="N419" s="64" t="s">
        <v>891</v>
      </c>
    </row>
    <row r="420" spans="13:14" x14ac:dyDescent="0.25">
      <c r="M420" s="64" t="s">
        <v>892</v>
      </c>
      <c r="N420" s="64" t="s">
        <v>893</v>
      </c>
    </row>
    <row r="421" spans="13:14" x14ac:dyDescent="0.25">
      <c r="M421" s="64" t="s">
        <v>894</v>
      </c>
      <c r="N421" s="64" t="s">
        <v>895</v>
      </c>
    </row>
    <row r="422" spans="13:14" x14ac:dyDescent="0.25">
      <c r="M422" s="64" t="s">
        <v>896</v>
      </c>
      <c r="N422" s="64" t="s">
        <v>897</v>
      </c>
    </row>
    <row r="423" spans="13:14" x14ac:dyDescent="0.25">
      <c r="M423" s="64" t="s">
        <v>898</v>
      </c>
      <c r="N423" s="64" t="s">
        <v>899</v>
      </c>
    </row>
    <row r="424" spans="13:14" x14ac:dyDescent="0.25">
      <c r="M424" s="64" t="s">
        <v>900</v>
      </c>
      <c r="N424" s="64" t="s">
        <v>901</v>
      </c>
    </row>
    <row r="425" spans="13:14" x14ac:dyDescent="0.25">
      <c r="M425" s="64" t="s">
        <v>902</v>
      </c>
      <c r="N425" s="64" t="s">
        <v>903</v>
      </c>
    </row>
    <row r="426" spans="13:14" x14ac:dyDescent="0.25">
      <c r="M426" s="64" t="s">
        <v>904</v>
      </c>
      <c r="N426" s="64" t="s">
        <v>905</v>
      </c>
    </row>
    <row r="427" spans="13:14" x14ac:dyDescent="0.25">
      <c r="M427" s="64" t="s">
        <v>906</v>
      </c>
      <c r="N427" s="64" t="s">
        <v>907</v>
      </c>
    </row>
    <row r="428" spans="13:14" x14ac:dyDescent="0.25">
      <c r="M428" s="64" t="s">
        <v>908</v>
      </c>
      <c r="N428" s="64" t="s">
        <v>909</v>
      </c>
    </row>
    <row r="429" spans="13:14" x14ac:dyDescent="0.25">
      <c r="M429" s="64" t="s">
        <v>910</v>
      </c>
      <c r="N429" s="64" t="s">
        <v>911</v>
      </c>
    </row>
    <row r="430" spans="13:14" x14ac:dyDescent="0.25">
      <c r="M430" s="64" t="s">
        <v>912</v>
      </c>
      <c r="N430" s="64" t="s">
        <v>913</v>
      </c>
    </row>
    <row r="431" spans="13:14" x14ac:dyDescent="0.25">
      <c r="M431" s="64" t="s">
        <v>914</v>
      </c>
      <c r="N431" s="64" t="s">
        <v>915</v>
      </c>
    </row>
    <row r="432" spans="13:14" x14ac:dyDescent="0.25">
      <c r="M432" s="64" t="s">
        <v>916</v>
      </c>
      <c r="N432" s="64" t="s">
        <v>917</v>
      </c>
    </row>
    <row r="433" spans="13:14" x14ac:dyDescent="0.25">
      <c r="M433" s="64" t="s">
        <v>918</v>
      </c>
      <c r="N433" s="64" t="s">
        <v>919</v>
      </c>
    </row>
    <row r="434" spans="13:14" x14ac:dyDescent="0.25">
      <c r="M434" s="64" t="s">
        <v>920</v>
      </c>
      <c r="N434" s="64" t="s">
        <v>921</v>
      </c>
    </row>
    <row r="435" spans="13:14" x14ac:dyDescent="0.25">
      <c r="M435" s="64" t="s">
        <v>922</v>
      </c>
      <c r="N435" s="64" t="s">
        <v>923</v>
      </c>
    </row>
    <row r="436" spans="13:14" x14ac:dyDescent="0.25">
      <c r="M436" s="64" t="s">
        <v>924</v>
      </c>
      <c r="N436" s="64" t="s">
        <v>925</v>
      </c>
    </row>
    <row r="437" spans="13:14" x14ac:dyDescent="0.25">
      <c r="M437" s="64" t="s">
        <v>926</v>
      </c>
      <c r="N437" s="64" t="s">
        <v>927</v>
      </c>
    </row>
    <row r="438" spans="13:14" x14ac:dyDescent="0.25">
      <c r="M438" s="64" t="s">
        <v>928</v>
      </c>
      <c r="N438" s="64" t="s">
        <v>929</v>
      </c>
    </row>
    <row r="439" spans="13:14" x14ac:dyDescent="0.25">
      <c r="M439" s="64" t="s">
        <v>930</v>
      </c>
      <c r="N439" s="64" t="s">
        <v>931</v>
      </c>
    </row>
    <row r="440" spans="13:14" x14ac:dyDescent="0.25">
      <c r="M440" s="64" t="s">
        <v>932</v>
      </c>
      <c r="N440" s="64" t="s">
        <v>933</v>
      </c>
    </row>
    <row r="441" spans="13:14" x14ac:dyDescent="0.25">
      <c r="M441" s="64" t="s">
        <v>934</v>
      </c>
      <c r="N441" s="64" t="s">
        <v>935</v>
      </c>
    </row>
    <row r="442" spans="13:14" x14ac:dyDescent="0.25">
      <c r="M442" s="64" t="s">
        <v>936</v>
      </c>
      <c r="N442" s="64" t="s">
        <v>937</v>
      </c>
    </row>
    <row r="443" spans="13:14" x14ac:dyDescent="0.25">
      <c r="M443" s="64" t="s">
        <v>938</v>
      </c>
      <c r="N443" s="64" t="s">
        <v>939</v>
      </c>
    </row>
    <row r="444" spans="13:14" x14ac:dyDescent="0.25">
      <c r="M444" s="64" t="s">
        <v>940</v>
      </c>
      <c r="N444" s="64" t="s">
        <v>941</v>
      </c>
    </row>
    <row r="445" spans="13:14" x14ac:dyDescent="0.25">
      <c r="M445" s="64" t="s">
        <v>942</v>
      </c>
      <c r="N445" s="64" t="s">
        <v>943</v>
      </c>
    </row>
    <row r="446" spans="13:14" x14ac:dyDescent="0.25">
      <c r="M446" s="64" t="s">
        <v>944</v>
      </c>
      <c r="N446" s="64" t="s">
        <v>945</v>
      </c>
    </row>
    <row r="447" spans="13:14" x14ac:dyDescent="0.25">
      <c r="M447" s="64" t="s">
        <v>946</v>
      </c>
      <c r="N447" s="64" t="s">
        <v>947</v>
      </c>
    </row>
    <row r="448" spans="13:14" x14ac:dyDescent="0.25">
      <c r="M448" s="64" t="s">
        <v>948</v>
      </c>
      <c r="N448" s="64" t="s">
        <v>949</v>
      </c>
    </row>
    <row r="449" spans="13:14" x14ac:dyDescent="0.25">
      <c r="M449" s="64" t="s">
        <v>950</v>
      </c>
      <c r="N449" s="64" t="s">
        <v>951</v>
      </c>
    </row>
    <row r="450" spans="13:14" x14ac:dyDescent="0.25">
      <c r="M450" s="64" t="s">
        <v>952</v>
      </c>
      <c r="N450" s="64" t="s">
        <v>953</v>
      </c>
    </row>
    <row r="451" spans="13:14" x14ac:dyDescent="0.25">
      <c r="M451" s="64" t="s">
        <v>954</v>
      </c>
      <c r="N451" s="64" t="s">
        <v>955</v>
      </c>
    </row>
    <row r="452" spans="13:14" x14ac:dyDescent="0.25">
      <c r="M452" s="64" t="s">
        <v>956</v>
      </c>
      <c r="N452" s="64" t="s">
        <v>957</v>
      </c>
    </row>
    <row r="453" spans="13:14" x14ac:dyDescent="0.25">
      <c r="M453" s="64" t="s">
        <v>958</v>
      </c>
      <c r="N453" s="64" t="s">
        <v>959</v>
      </c>
    </row>
    <row r="454" spans="13:14" x14ac:dyDescent="0.25">
      <c r="M454" s="64" t="s">
        <v>960</v>
      </c>
      <c r="N454" s="64" t="s">
        <v>961</v>
      </c>
    </row>
    <row r="455" spans="13:14" x14ac:dyDescent="0.25">
      <c r="M455" s="64" t="s">
        <v>962</v>
      </c>
      <c r="N455" s="64" t="s">
        <v>963</v>
      </c>
    </row>
    <row r="456" spans="13:14" x14ac:dyDescent="0.25">
      <c r="M456" s="64" t="s">
        <v>964</v>
      </c>
      <c r="N456" s="64" t="s">
        <v>965</v>
      </c>
    </row>
    <row r="457" spans="13:14" x14ac:dyDescent="0.25">
      <c r="M457" s="64" t="s">
        <v>966</v>
      </c>
      <c r="N457" s="64" t="s">
        <v>967</v>
      </c>
    </row>
    <row r="458" spans="13:14" x14ac:dyDescent="0.25">
      <c r="M458" s="64" t="s">
        <v>968</v>
      </c>
      <c r="N458" s="64" t="s">
        <v>969</v>
      </c>
    </row>
    <row r="459" spans="13:14" x14ac:dyDescent="0.25">
      <c r="M459" s="64" t="s">
        <v>970</v>
      </c>
      <c r="N459" s="64" t="s">
        <v>971</v>
      </c>
    </row>
    <row r="460" spans="13:14" x14ac:dyDescent="0.25">
      <c r="M460" s="64" t="s">
        <v>972</v>
      </c>
      <c r="N460" s="64" t="s">
        <v>973</v>
      </c>
    </row>
    <row r="461" spans="13:14" x14ac:dyDescent="0.25">
      <c r="M461" s="64" t="s">
        <v>974</v>
      </c>
      <c r="N461" s="64" t="s">
        <v>975</v>
      </c>
    </row>
    <row r="462" spans="13:14" x14ac:dyDescent="0.25">
      <c r="M462" s="64" t="s">
        <v>976</v>
      </c>
      <c r="N462" s="64" t="s">
        <v>977</v>
      </c>
    </row>
    <row r="463" spans="13:14" x14ac:dyDescent="0.25">
      <c r="M463" s="64" t="s">
        <v>978</v>
      </c>
      <c r="N463" s="64" t="s">
        <v>979</v>
      </c>
    </row>
    <row r="464" spans="13:14" x14ac:dyDescent="0.25">
      <c r="M464" s="64" t="s">
        <v>980</v>
      </c>
      <c r="N464" s="64" t="s">
        <v>981</v>
      </c>
    </row>
    <row r="465" spans="13:14" x14ac:dyDescent="0.25">
      <c r="M465" s="64" t="s">
        <v>982</v>
      </c>
      <c r="N465" s="64" t="s">
        <v>983</v>
      </c>
    </row>
    <row r="466" spans="13:14" x14ac:dyDescent="0.25">
      <c r="M466" s="64" t="s">
        <v>984</v>
      </c>
      <c r="N466" s="64" t="s">
        <v>985</v>
      </c>
    </row>
    <row r="467" spans="13:14" x14ac:dyDescent="0.25">
      <c r="M467" s="64" t="s">
        <v>986</v>
      </c>
      <c r="N467" s="64" t="s">
        <v>987</v>
      </c>
    </row>
    <row r="468" spans="13:14" x14ac:dyDescent="0.25">
      <c r="M468" s="64" t="s">
        <v>988</v>
      </c>
      <c r="N468" s="64" t="s">
        <v>989</v>
      </c>
    </row>
    <row r="469" spans="13:14" x14ac:dyDescent="0.25">
      <c r="M469" s="64" t="s">
        <v>990</v>
      </c>
      <c r="N469" s="64" t="s">
        <v>991</v>
      </c>
    </row>
    <row r="470" spans="13:14" x14ac:dyDescent="0.25">
      <c r="M470" s="64" t="s">
        <v>992</v>
      </c>
      <c r="N470" s="64" t="s">
        <v>993</v>
      </c>
    </row>
    <row r="471" spans="13:14" x14ac:dyDescent="0.25">
      <c r="M471" s="64" t="s">
        <v>994</v>
      </c>
      <c r="N471" s="64" t="s">
        <v>995</v>
      </c>
    </row>
    <row r="472" spans="13:14" x14ac:dyDescent="0.25">
      <c r="M472" s="64" t="s">
        <v>996</v>
      </c>
      <c r="N472" s="64" t="s">
        <v>997</v>
      </c>
    </row>
    <row r="473" spans="13:14" x14ac:dyDescent="0.25">
      <c r="M473" s="64" t="s">
        <v>998</v>
      </c>
      <c r="N473" s="64" t="s">
        <v>999</v>
      </c>
    </row>
    <row r="474" spans="13:14" x14ac:dyDescent="0.25">
      <c r="M474" s="64" t="s">
        <v>1000</v>
      </c>
      <c r="N474" s="64" t="s">
        <v>1001</v>
      </c>
    </row>
    <row r="475" spans="13:14" x14ac:dyDescent="0.25">
      <c r="M475" s="64" t="s">
        <v>1002</v>
      </c>
      <c r="N475" s="64" t="s">
        <v>1003</v>
      </c>
    </row>
    <row r="476" spans="13:14" x14ac:dyDescent="0.25">
      <c r="M476" s="64" t="s">
        <v>1004</v>
      </c>
      <c r="N476" s="64" t="s">
        <v>1005</v>
      </c>
    </row>
    <row r="477" spans="13:14" x14ac:dyDescent="0.25">
      <c r="M477" s="64" t="s">
        <v>1006</v>
      </c>
      <c r="N477" s="64" t="s">
        <v>1007</v>
      </c>
    </row>
    <row r="478" spans="13:14" x14ac:dyDescent="0.25">
      <c r="M478" s="64" t="s">
        <v>1008</v>
      </c>
      <c r="N478" s="64" t="s">
        <v>1009</v>
      </c>
    </row>
    <row r="479" spans="13:14" x14ac:dyDescent="0.25">
      <c r="M479" s="64" t="s">
        <v>1010</v>
      </c>
      <c r="N479" s="64" t="s">
        <v>1011</v>
      </c>
    </row>
    <row r="480" spans="13:14" x14ac:dyDescent="0.25">
      <c r="M480" s="64" t="s">
        <v>1012</v>
      </c>
      <c r="N480" s="64" t="s">
        <v>1013</v>
      </c>
    </row>
    <row r="481" spans="13:14" x14ac:dyDescent="0.25">
      <c r="M481" s="64" t="s">
        <v>1014</v>
      </c>
      <c r="N481" s="64" t="s">
        <v>1015</v>
      </c>
    </row>
    <row r="482" spans="13:14" x14ac:dyDescent="0.25">
      <c r="M482" s="64" t="s">
        <v>1016</v>
      </c>
      <c r="N482" s="64" t="s">
        <v>1017</v>
      </c>
    </row>
    <row r="483" spans="13:14" x14ac:dyDescent="0.25">
      <c r="M483" s="64" t="s">
        <v>1018</v>
      </c>
      <c r="N483" s="64" t="s">
        <v>1019</v>
      </c>
    </row>
    <row r="484" spans="13:14" x14ac:dyDescent="0.25">
      <c r="M484" s="64" t="s">
        <v>1020</v>
      </c>
      <c r="N484" s="64" t="s">
        <v>1021</v>
      </c>
    </row>
    <row r="485" spans="13:14" x14ac:dyDescent="0.25">
      <c r="M485" s="64" t="s">
        <v>1022</v>
      </c>
      <c r="N485" s="64" t="s">
        <v>1023</v>
      </c>
    </row>
    <row r="486" spans="13:14" x14ac:dyDescent="0.25">
      <c r="M486" s="64" t="s">
        <v>1024</v>
      </c>
      <c r="N486" s="64" t="s">
        <v>1025</v>
      </c>
    </row>
    <row r="487" spans="13:14" x14ac:dyDescent="0.25">
      <c r="M487" s="64" t="s">
        <v>1026</v>
      </c>
      <c r="N487" s="64" t="s">
        <v>1027</v>
      </c>
    </row>
    <row r="488" spans="13:14" x14ac:dyDescent="0.25">
      <c r="M488" s="64" t="s">
        <v>1028</v>
      </c>
      <c r="N488" s="64" t="s">
        <v>1029</v>
      </c>
    </row>
    <row r="489" spans="13:14" x14ac:dyDescent="0.25">
      <c r="M489" s="64" t="s">
        <v>1030</v>
      </c>
      <c r="N489" s="64" t="s">
        <v>1031</v>
      </c>
    </row>
    <row r="490" spans="13:14" x14ac:dyDescent="0.25">
      <c r="M490" s="64" t="s">
        <v>1032</v>
      </c>
      <c r="N490" s="64" t="s">
        <v>1033</v>
      </c>
    </row>
    <row r="491" spans="13:14" x14ac:dyDescent="0.25">
      <c r="M491" s="64" t="s">
        <v>1034</v>
      </c>
      <c r="N491" s="64" t="s">
        <v>1035</v>
      </c>
    </row>
    <row r="492" spans="13:14" x14ac:dyDescent="0.25">
      <c r="M492" s="64" t="s">
        <v>1036</v>
      </c>
      <c r="N492" s="64" t="s">
        <v>1037</v>
      </c>
    </row>
    <row r="493" spans="13:14" x14ac:dyDescent="0.25">
      <c r="M493" s="64" t="s">
        <v>1038</v>
      </c>
      <c r="N493" s="64" t="s">
        <v>1039</v>
      </c>
    </row>
    <row r="494" spans="13:14" x14ac:dyDescent="0.25">
      <c r="M494" s="64" t="s">
        <v>1040</v>
      </c>
      <c r="N494" s="64" t="s">
        <v>1041</v>
      </c>
    </row>
    <row r="495" spans="13:14" x14ac:dyDescent="0.25">
      <c r="M495" s="64" t="s">
        <v>1042</v>
      </c>
      <c r="N495" s="64" t="s">
        <v>1043</v>
      </c>
    </row>
    <row r="496" spans="13:14" x14ac:dyDescent="0.25">
      <c r="M496" s="64" t="s">
        <v>1044</v>
      </c>
      <c r="N496" s="64" t="s">
        <v>1045</v>
      </c>
    </row>
    <row r="497" spans="13:14" x14ac:dyDescent="0.25">
      <c r="M497" s="64" t="s">
        <v>1046</v>
      </c>
      <c r="N497" s="64" t="s">
        <v>1047</v>
      </c>
    </row>
    <row r="498" spans="13:14" x14ac:dyDescent="0.25">
      <c r="M498" s="64" t="s">
        <v>1048</v>
      </c>
      <c r="N498" s="64" t="s">
        <v>1049</v>
      </c>
    </row>
    <row r="499" spans="13:14" x14ac:dyDescent="0.25">
      <c r="M499" s="64" t="s">
        <v>1050</v>
      </c>
      <c r="N499" s="64" t="s">
        <v>1051</v>
      </c>
    </row>
    <row r="500" spans="13:14" x14ac:dyDescent="0.25">
      <c r="M500" s="64" t="s">
        <v>1052</v>
      </c>
      <c r="N500" s="64" t="s">
        <v>1053</v>
      </c>
    </row>
    <row r="501" spans="13:14" x14ac:dyDescent="0.25">
      <c r="M501" s="64" t="s">
        <v>1054</v>
      </c>
      <c r="N501" s="64" t="s">
        <v>1055</v>
      </c>
    </row>
    <row r="502" spans="13:14" x14ac:dyDescent="0.25">
      <c r="M502" s="64" t="s">
        <v>1056</v>
      </c>
      <c r="N502" s="64" t="s">
        <v>1057</v>
      </c>
    </row>
    <row r="503" spans="13:14" x14ac:dyDescent="0.25">
      <c r="M503" s="64" t="s">
        <v>1058</v>
      </c>
      <c r="N503" s="64" t="s">
        <v>1059</v>
      </c>
    </row>
    <row r="504" spans="13:14" x14ac:dyDescent="0.25">
      <c r="M504" s="64" t="s">
        <v>1060</v>
      </c>
      <c r="N504" s="64" t="s">
        <v>1061</v>
      </c>
    </row>
    <row r="505" spans="13:14" x14ac:dyDescent="0.25">
      <c r="M505" s="64" t="s">
        <v>1062</v>
      </c>
      <c r="N505" s="64" t="s">
        <v>1063</v>
      </c>
    </row>
    <row r="506" spans="13:14" x14ac:dyDescent="0.25">
      <c r="M506" s="64" t="s">
        <v>1064</v>
      </c>
      <c r="N506" s="64" t="s">
        <v>1065</v>
      </c>
    </row>
    <row r="507" spans="13:14" x14ac:dyDescent="0.25">
      <c r="M507" s="64" t="s">
        <v>1066</v>
      </c>
      <c r="N507" s="64" t="s">
        <v>1067</v>
      </c>
    </row>
    <row r="508" spans="13:14" x14ac:dyDescent="0.25">
      <c r="M508" s="64" t="s">
        <v>1068</v>
      </c>
      <c r="N508" s="64" t="s">
        <v>1069</v>
      </c>
    </row>
    <row r="509" spans="13:14" x14ac:dyDescent="0.25">
      <c r="M509" s="64" t="s">
        <v>1070</v>
      </c>
      <c r="N509" s="64" t="s">
        <v>1071</v>
      </c>
    </row>
    <row r="510" spans="13:14" x14ac:dyDescent="0.25">
      <c r="M510" s="64" t="s">
        <v>1072</v>
      </c>
      <c r="N510" s="64" t="s">
        <v>1073</v>
      </c>
    </row>
    <row r="511" spans="13:14" x14ac:dyDescent="0.25">
      <c r="M511" s="64" t="s">
        <v>1074</v>
      </c>
      <c r="N511" s="64" t="s">
        <v>1075</v>
      </c>
    </row>
    <row r="512" spans="13:14" x14ac:dyDescent="0.25">
      <c r="M512" s="64" t="s">
        <v>1076</v>
      </c>
      <c r="N512" s="64" t="s">
        <v>1077</v>
      </c>
    </row>
    <row r="513" spans="13:14" x14ac:dyDescent="0.25">
      <c r="M513" s="64" t="s">
        <v>1078</v>
      </c>
      <c r="N513" s="64" t="s">
        <v>1079</v>
      </c>
    </row>
    <row r="514" spans="13:14" x14ac:dyDescent="0.25">
      <c r="M514" s="64" t="s">
        <v>1080</v>
      </c>
      <c r="N514" s="64" t="s">
        <v>1081</v>
      </c>
    </row>
    <row r="515" spans="13:14" x14ac:dyDescent="0.25">
      <c r="M515" s="64" t="s">
        <v>1082</v>
      </c>
      <c r="N515" s="64" t="s">
        <v>1083</v>
      </c>
    </row>
    <row r="516" spans="13:14" x14ac:dyDescent="0.25">
      <c r="M516" s="64" t="s">
        <v>1084</v>
      </c>
      <c r="N516" s="64" t="s">
        <v>1085</v>
      </c>
    </row>
    <row r="517" spans="13:14" x14ac:dyDescent="0.25">
      <c r="M517" s="64" t="s">
        <v>1086</v>
      </c>
      <c r="N517" s="64" t="s">
        <v>1087</v>
      </c>
    </row>
    <row r="518" spans="13:14" x14ac:dyDescent="0.25">
      <c r="M518" s="64" t="s">
        <v>1088</v>
      </c>
      <c r="N518" s="64" t="s">
        <v>1089</v>
      </c>
    </row>
    <row r="519" spans="13:14" x14ac:dyDescent="0.25">
      <c r="M519" s="64" t="s">
        <v>1090</v>
      </c>
      <c r="N519" s="64" t="s">
        <v>1091</v>
      </c>
    </row>
    <row r="520" spans="13:14" x14ac:dyDescent="0.25">
      <c r="M520" s="64" t="s">
        <v>1092</v>
      </c>
      <c r="N520" s="64" t="s">
        <v>1093</v>
      </c>
    </row>
    <row r="521" spans="13:14" x14ac:dyDescent="0.25">
      <c r="M521" s="64" t="s">
        <v>1094</v>
      </c>
      <c r="N521" s="64" t="s">
        <v>1095</v>
      </c>
    </row>
    <row r="522" spans="13:14" x14ac:dyDescent="0.25">
      <c r="M522" s="64" t="s">
        <v>1096</v>
      </c>
      <c r="N522" s="64" t="s">
        <v>1097</v>
      </c>
    </row>
    <row r="523" spans="13:14" x14ac:dyDescent="0.25">
      <c r="M523" s="64" t="s">
        <v>1098</v>
      </c>
      <c r="N523" s="64" t="s">
        <v>1099</v>
      </c>
    </row>
    <row r="524" spans="13:14" x14ac:dyDescent="0.25">
      <c r="M524" s="64" t="s">
        <v>1100</v>
      </c>
      <c r="N524" s="64" t="s">
        <v>1101</v>
      </c>
    </row>
    <row r="525" spans="13:14" x14ac:dyDescent="0.25">
      <c r="M525" s="64" t="s">
        <v>1102</v>
      </c>
      <c r="N525" s="64" t="s">
        <v>1103</v>
      </c>
    </row>
    <row r="526" spans="13:14" x14ac:dyDescent="0.25">
      <c r="M526" s="64" t="s">
        <v>1104</v>
      </c>
      <c r="N526" s="64" t="s">
        <v>1105</v>
      </c>
    </row>
    <row r="527" spans="13:14" x14ac:dyDescent="0.25">
      <c r="M527" s="64" t="s">
        <v>1106</v>
      </c>
      <c r="N527" s="64" t="s">
        <v>1107</v>
      </c>
    </row>
    <row r="528" spans="13:14" x14ac:dyDescent="0.25">
      <c r="M528" s="64" t="s">
        <v>1108</v>
      </c>
      <c r="N528" s="64" t="s">
        <v>1109</v>
      </c>
    </row>
    <row r="529" spans="13:14" x14ac:dyDescent="0.25">
      <c r="M529" s="64" t="s">
        <v>1110</v>
      </c>
      <c r="N529" s="64" t="s">
        <v>1111</v>
      </c>
    </row>
    <row r="530" spans="13:14" x14ac:dyDescent="0.25">
      <c r="M530" s="64" t="s">
        <v>1112</v>
      </c>
      <c r="N530" s="64" t="s">
        <v>1113</v>
      </c>
    </row>
    <row r="531" spans="13:14" x14ac:dyDescent="0.25">
      <c r="M531" s="64" t="s">
        <v>1114</v>
      </c>
      <c r="N531" s="64" t="s">
        <v>1115</v>
      </c>
    </row>
    <row r="532" spans="13:14" x14ac:dyDescent="0.25">
      <c r="M532" s="64" t="s">
        <v>1116</v>
      </c>
      <c r="N532" s="64" t="s">
        <v>1117</v>
      </c>
    </row>
    <row r="533" spans="13:14" x14ac:dyDescent="0.25">
      <c r="M533" s="64" t="s">
        <v>1118</v>
      </c>
      <c r="N533" s="64" t="s">
        <v>1119</v>
      </c>
    </row>
    <row r="534" spans="13:14" x14ac:dyDescent="0.25">
      <c r="M534" s="64" t="s">
        <v>1120</v>
      </c>
      <c r="N534" s="64" t="s">
        <v>1121</v>
      </c>
    </row>
    <row r="535" spans="13:14" x14ac:dyDescent="0.25">
      <c r="M535" s="64" t="s">
        <v>1122</v>
      </c>
      <c r="N535" s="64" t="s">
        <v>1123</v>
      </c>
    </row>
    <row r="536" spans="13:14" x14ac:dyDescent="0.25">
      <c r="M536" s="64" t="s">
        <v>1124</v>
      </c>
      <c r="N536" s="64" t="s">
        <v>1125</v>
      </c>
    </row>
    <row r="537" spans="13:14" x14ac:dyDescent="0.25">
      <c r="M537" s="64" t="s">
        <v>1126</v>
      </c>
      <c r="N537" s="64" t="s">
        <v>1127</v>
      </c>
    </row>
    <row r="538" spans="13:14" x14ac:dyDescent="0.25">
      <c r="M538" s="64" t="s">
        <v>1128</v>
      </c>
      <c r="N538" s="64" t="s">
        <v>1129</v>
      </c>
    </row>
    <row r="539" spans="13:14" x14ac:dyDescent="0.25">
      <c r="M539" s="64" t="s">
        <v>1130</v>
      </c>
      <c r="N539" s="64" t="s">
        <v>1131</v>
      </c>
    </row>
    <row r="540" spans="13:14" x14ac:dyDescent="0.25">
      <c r="M540" s="64" t="s">
        <v>1132</v>
      </c>
      <c r="N540" s="64" t="s">
        <v>1133</v>
      </c>
    </row>
    <row r="541" spans="13:14" x14ac:dyDescent="0.25">
      <c r="M541" s="64" t="s">
        <v>1134</v>
      </c>
      <c r="N541" s="64" t="s">
        <v>1135</v>
      </c>
    </row>
    <row r="542" spans="13:14" x14ac:dyDescent="0.25">
      <c r="M542" s="64" t="s">
        <v>1136</v>
      </c>
      <c r="N542" s="64" t="s">
        <v>1137</v>
      </c>
    </row>
    <row r="543" spans="13:14" x14ac:dyDescent="0.25">
      <c r="M543" s="64" t="s">
        <v>1138</v>
      </c>
      <c r="N543" s="64" t="s">
        <v>1139</v>
      </c>
    </row>
    <row r="544" spans="13:14" x14ac:dyDescent="0.25">
      <c r="M544" s="64" t="s">
        <v>1140</v>
      </c>
      <c r="N544" s="64" t="s">
        <v>1141</v>
      </c>
    </row>
    <row r="545" spans="13:14" x14ac:dyDescent="0.25">
      <c r="M545" s="64" t="s">
        <v>1142</v>
      </c>
      <c r="N545" s="64" t="s">
        <v>1143</v>
      </c>
    </row>
    <row r="546" spans="13:14" x14ac:dyDescent="0.25">
      <c r="M546" s="64" t="s">
        <v>1144</v>
      </c>
      <c r="N546" s="64" t="s">
        <v>1145</v>
      </c>
    </row>
    <row r="547" spans="13:14" x14ac:dyDescent="0.25">
      <c r="M547" s="64" t="s">
        <v>1146</v>
      </c>
      <c r="N547" s="64" t="s">
        <v>1147</v>
      </c>
    </row>
    <row r="548" spans="13:14" x14ac:dyDescent="0.25">
      <c r="M548" s="64" t="s">
        <v>1148</v>
      </c>
      <c r="N548" s="64" t="s">
        <v>1149</v>
      </c>
    </row>
    <row r="549" spans="13:14" x14ac:dyDescent="0.25">
      <c r="M549" s="64" t="s">
        <v>1150</v>
      </c>
      <c r="N549" s="64" t="s">
        <v>1151</v>
      </c>
    </row>
    <row r="550" spans="13:14" x14ac:dyDescent="0.25">
      <c r="M550" s="64" t="s">
        <v>1152</v>
      </c>
      <c r="N550" s="64" t="s">
        <v>1153</v>
      </c>
    </row>
    <row r="551" spans="13:14" x14ac:dyDescent="0.25">
      <c r="M551" s="64" t="s">
        <v>1154</v>
      </c>
      <c r="N551" s="64" t="s">
        <v>1155</v>
      </c>
    </row>
    <row r="552" spans="13:14" x14ac:dyDescent="0.25">
      <c r="M552" s="64" t="s">
        <v>1156</v>
      </c>
      <c r="N552" s="64" t="s">
        <v>1157</v>
      </c>
    </row>
    <row r="553" spans="13:14" x14ac:dyDescent="0.25">
      <c r="M553" s="64" t="s">
        <v>1158</v>
      </c>
      <c r="N553" s="64" t="s">
        <v>1159</v>
      </c>
    </row>
    <row r="554" spans="13:14" x14ac:dyDescent="0.25">
      <c r="M554" s="64" t="s">
        <v>1160</v>
      </c>
      <c r="N554" s="64" t="s">
        <v>1161</v>
      </c>
    </row>
    <row r="555" spans="13:14" x14ac:dyDescent="0.25">
      <c r="M555" s="64" t="s">
        <v>1162</v>
      </c>
      <c r="N555" s="64" t="s">
        <v>1163</v>
      </c>
    </row>
    <row r="556" spans="13:14" x14ac:dyDescent="0.25">
      <c r="M556" s="64" t="s">
        <v>1164</v>
      </c>
      <c r="N556" s="64" t="s">
        <v>1165</v>
      </c>
    </row>
    <row r="557" spans="13:14" x14ac:dyDescent="0.25">
      <c r="M557" s="64" t="s">
        <v>1166</v>
      </c>
      <c r="N557" s="64" t="s">
        <v>1167</v>
      </c>
    </row>
    <row r="558" spans="13:14" x14ac:dyDescent="0.25">
      <c r="M558" s="64" t="s">
        <v>1168</v>
      </c>
      <c r="N558" s="64" t="s">
        <v>1169</v>
      </c>
    </row>
    <row r="559" spans="13:14" x14ac:dyDescent="0.25">
      <c r="M559" s="64" t="s">
        <v>1170</v>
      </c>
      <c r="N559" s="64" t="s">
        <v>1171</v>
      </c>
    </row>
    <row r="560" spans="13:14" x14ac:dyDescent="0.25">
      <c r="M560" s="64" t="s">
        <v>1172</v>
      </c>
      <c r="N560" s="64" t="s">
        <v>1173</v>
      </c>
    </row>
    <row r="561" spans="13:14" x14ac:dyDescent="0.25">
      <c r="M561" s="64" t="s">
        <v>1174</v>
      </c>
      <c r="N561" s="64" t="s">
        <v>1175</v>
      </c>
    </row>
    <row r="562" spans="13:14" x14ac:dyDescent="0.25">
      <c r="M562" s="64" t="s">
        <v>1176</v>
      </c>
      <c r="N562" s="64" t="s">
        <v>1177</v>
      </c>
    </row>
    <row r="563" spans="13:14" x14ac:dyDescent="0.25">
      <c r="M563" s="64" t="s">
        <v>1178</v>
      </c>
      <c r="N563" s="64" t="s">
        <v>1179</v>
      </c>
    </row>
    <row r="564" spans="13:14" x14ac:dyDescent="0.25">
      <c r="M564" s="64" t="s">
        <v>1180</v>
      </c>
      <c r="N564" s="64" t="s">
        <v>1181</v>
      </c>
    </row>
    <row r="565" spans="13:14" x14ac:dyDescent="0.25">
      <c r="M565" s="64" t="s">
        <v>1182</v>
      </c>
      <c r="N565" s="64" t="s">
        <v>1183</v>
      </c>
    </row>
    <row r="566" spans="13:14" x14ac:dyDescent="0.25">
      <c r="M566" s="64" t="s">
        <v>1184</v>
      </c>
      <c r="N566" s="64" t="s">
        <v>1185</v>
      </c>
    </row>
    <row r="567" spans="13:14" x14ac:dyDescent="0.25">
      <c r="M567" s="64" t="s">
        <v>1186</v>
      </c>
      <c r="N567" s="64" t="s">
        <v>1187</v>
      </c>
    </row>
    <row r="568" spans="13:14" x14ac:dyDescent="0.25">
      <c r="M568" s="64" t="s">
        <v>1188</v>
      </c>
      <c r="N568" s="64" t="s">
        <v>1189</v>
      </c>
    </row>
    <row r="569" spans="13:14" x14ac:dyDescent="0.25">
      <c r="M569" s="64" t="s">
        <v>1190</v>
      </c>
      <c r="N569" s="64" t="s">
        <v>1191</v>
      </c>
    </row>
    <row r="570" spans="13:14" x14ac:dyDescent="0.25">
      <c r="M570" s="64" t="s">
        <v>1192</v>
      </c>
      <c r="N570" s="64" t="s">
        <v>1193</v>
      </c>
    </row>
    <row r="571" spans="13:14" x14ac:dyDescent="0.25">
      <c r="M571" s="64" t="s">
        <v>1194</v>
      </c>
      <c r="N571" s="64" t="s">
        <v>1195</v>
      </c>
    </row>
    <row r="572" spans="13:14" x14ac:dyDescent="0.25">
      <c r="M572" s="64" t="s">
        <v>1196</v>
      </c>
      <c r="N572" s="64" t="s">
        <v>1197</v>
      </c>
    </row>
    <row r="573" spans="13:14" x14ac:dyDescent="0.25">
      <c r="M573" s="64" t="s">
        <v>1198</v>
      </c>
      <c r="N573" s="64" t="s">
        <v>1199</v>
      </c>
    </row>
    <row r="574" spans="13:14" x14ac:dyDescent="0.25">
      <c r="M574" s="64" t="s">
        <v>1200</v>
      </c>
      <c r="N574" s="64" t="s">
        <v>1201</v>
      </c>
    </row>
    <row r="575" spans="13:14" x14ac:dyDescent="0.25">
      <c r="M575" s="64" t="s">
        <v>1202</v>
      </c>
      <c r="N575" s="64" t="s">
        <v>1203</v>
      </c>
    </row>
    <row r="576" spans="13:14" x14ac:dyDescent="0.25">
      <c r="M576" s="64" t="s">
        <v>1204</v>
      </c>
      <c r="N576" s="64" t="s">
        <v>1205</v>
      </c>
    </row>
    <row r="577" spans="13:14" x14ac:dyDescent="0.25">
      <c r="M577" s="64" t="s">
        <v>1206</v>
      </c>
      <c r="N577" s="64" t="s">
        <v>1207</v>
      </c>
    </row>
    <row r="578" spans="13:14" x14ac:dyDescent="0.25">
      <c r="M578" s="64" t="s">
        <v>1208</v>
      </c>
      <c r="N578" s="64" t="s">
        <v>1209</v>
      </c>
    </row>
    <row r="579" spans="13:14" x14ac:dyDescent="0.25">
      <c r="M579" s="64" t="s">
        <v>1210</v>
      </c>
      <c r="N579" s="64" t="s">
        <v>1211</v>
      </c>
    </row>
    <row r="580" spans="13:14" x14ac:dyDescent="0.25">
      <c r="M580" s="64" t="s">
        <v>1212</v>
      </c>
      <c r="N580" s="64" t="s">
        <v>1213</v>
      </c>
    </row>
    <row r="581" spans="13:14" x14ac:dyDescent="0.25">
      <c r="M581" s="64" t="s">
        <v>1214</v>
      </c>
      <c r="N581" s="64" t="s">
        <v>1215</v>
      </c>
    </row>
    <row r="582" spans="13:14" x14ac:dyDescent="0.25">
      <c r="M582" s="64" t="s">
        <v>1216</v>
      </c>
      <c r="N582" s="64" t="s">
        <v>1217</v>
      </c>
    </row>
    <row r="583" spans="13:14" x14ac:dyDescent="0.25">
      <c r="M583" s="64" t="s">
        <v>1218</v>
      </c>
      <c r="N583" s="64" t="s">
        <v>1219</v>
      </c>
    </row>
    <row r="584" spans="13:14" x14ac:dyDescent="0.25">
      <c r="M584" s="64" t="s">
        <v>1220</v>
      </c>
      <c r="N584" s="64" t="s">
        <v>1221</v>
      </c>
    </row>
    <row r="585" spans="13:14" x14ac:dyDescent="0.25">
      <c r="M585" s="64" t="s">
        <v>1222</v>
      </c>
      <c r="N585" s="64" t="s">
        <v>1223</v>
      </c>
    </row>
    <row r="586" spans="13:14" x14ac:dyDescent="0.25">
      <c r="M586" s="64" t="s">
        <v>1224</v>
      </c>
      <c r="N586" s="64" t="s">
        <v>1225</v>
      </c>
    </row>
    <row r="587" spans="13:14" x14ac:dyDescent="0.25">
      <c r="M587" s="64" t="s">
        <v>1226</v>
      </c>
      <c r="N587" s="64" t="s">
        <v>1227</v>
      </c>
    </row>
    <row r="588" spans="13:14" x14ac:dyDescent="0.25">
      <c r="M588" s="64" t="s">
        <v>1228</v>
      </c>
      <c r="N588" s="64" t="s">
        <v>1229</v>
      </c>
    </row>
    <row r="589" spans="13:14" x14ac:dyDescent="0.25">
      <c r="M589" s="64" t="s">
        <v>1230</v>
      </c>
      <c r="N589" s="64" t="s">
        <v>1231</v>
      </c>
    </row>
    <row r="590" spans="13:14" x14ac:dyDescent="0.25">
      <c r="M590" s="64" t="s">
        <v>1232</v>
      </c>
      <c r="N590" s="64" t="s">
        <v>1233</v>
      </c>
    </row>
    <row r="591" spans="13:14" x14ac:dyDescent="0.25">
      <c r="M591" s="64" t="s">
        <v>1234</v>
      </c>
      <c r="N591" s="64" t="s">
        <v>1235</v>
      </c>
    </row>
    <row r="592" spans="13:14" x14ac:dyDescent="0.25">
      <c r="M592" s="64" t="s">
        <v>1236</v>
      </c>
      <c r="N592" s="64" t="s">
        <v>1237</v>
      </c>
    </row>
    <row r="593" spans="13:14" x14ac:dyDescent="0.25">
      <c r="M593" s="64" t="s">
        <v>1238</v>
      </c>
      <c r="N593" s="64" t="s">
        <v>1239</v>
      </c>
    </row>
    <row r="594" spans="13:14" x14ac:dyDescent="0.25">
      <c r="M594" s="64" t="s">
        <v>1240</v>
      </c>
      <c r="N594" s="64" t="s">
        <v>1241</v>
      </c>
    </row>
    <row r="595" spans="13:14" x14ac:dyDescent="0.25">
      <c r="M595" s="64" t="s">
        <v>1242</v>
      </c>
      <c r="N595" s="64" t="s">
        <v>1243</v>
      </c>
    </row>
    <row r="596" spans="13:14" x14ac:dyDescent="0.25">
      <c r="M596" s="64" t="s">
        <v>1244</v>
      </c>
      <c r="N596" s="64" t="s">
        <v>1245</v>
      </c>
    </row>
    <row r="597" spans="13:14" x14ac:dyDescent="0.25">
      <c r="M597" s="64" t="s">
        <v>1246</v>
      </c>
      <c r="N597" s="64" t="s">
        <v>1247</v>
      </c>
    </row>
    <row r="598" spans="13:14" x14ac:dyDescent="0.25">
      <c r="M598" s="64" t="s">
        <v>1248</v>
      </c>
      <c r="N598" s="64" t="s">
        <v>1249</v>
      </c>
    </row>
    <row r="599" spans="13:14" x14ac:dyDescent="0.25">
      <c r="M599" s="64" t="s">
        <v>1250</v>
      </c>
      <c r="N599" s="64" t="s">
        <v>1251</v>
      </c>
    </row>
    <row r="600" spans="13:14" x14ac:dyDescent="0.25">
      <c r="M600" s="64" t="s">
        <v>1252</v>
      </c>
      <c r="N600" s="64" t="s">
        <v>1253</v>
      </c>
    </row>
    <row r="601" spans="13:14" x14ac:dyDescent="0.25">
      <c r="M601" s="64" t="s">
        <v>1254</v>
      </c>
      <c r="N601" s="64" t="s">
        <v>1255</v>
      </c>
    </row>
    <row r="602" spans="13:14" x14ac:dyDescent="0.25">
      <c r="M602" s="64" t="s">
        <v>1256</v>
      </c>
      <c r="N602" s="64" t="s">
        <v>1257</v>
      </c>
    </row>
    <row r="603" spans="13:14" x14ac:dyDescent="0.25">
      <c r="M603" s="64" t="s">
        <v>1258</v>
      </c>
      <c r="N603" s="64" t="s">
        <v>1259</v>
      </c>
    </row>
    <row r="604" spans="13:14" x14ac:dyDescent="0.25">
      <c r="M604" s="64" t="s">
        <v>1260</v>
      </c>
      <c r="N604" s="64" t="s">
        <v>1261</v>
      </c>
    </row>
    <row r="605" spans="13:14" x14ac:dyDescent="0.25">
      <c r="M605" s="64" t="s">
        <v>1262</v>
      </c>
      <c r="N605" s="64" t="s">
        <v>1263</v>
      </c>
    </row>
    <row r="606" spans="13:14" x14ac:dyDescent="0.25">
      <c r="M606" s="64" t="s">
        <v>1264</v>
      </c>
      <c r="N606" s="64" t="s">
        <v>1265</v>
      </c>
    </row>
    <row r="607" spans="13:14" x14ac:dyDescent="0.25">
      <c r="M607" s="64" t="s">
        <v>1266</v>
      </c>
      <c r="N607" s="64" t="s">
        <v>1267</v>
      </c>
    </row>
    <row r="608" spans="13:14" x14ac:dyDescent="0.25">
      <c r="M608" s="64" t="s">
        <v>1268</v>
      </c>
      <c r="N608" s="64" t="s">
        <v>1269</v>
      </c>
    </row>
    <row r="609" spans="13:14" x14ac:dyDescent="0.25">
      <c r="M609" s="64" t="s">
        <v>1270</v>
      </c>
      <c r="N609" s="64" t="s">
        <v>1271</v>
      </c>
    </row>
    <row r="610" spans="13:14" x14ac:dyDescent="0.25">
      <c r="M610" s="64" t="s">
        <v>1272</v>
      </c>
      <c r="N610" s="64" t="s">
        <v>1273</v>
      </c>
    </row>
    <row r="611" spans="13:14" x14ac:dyDescent="0.25">
      <c r="M611" s="64" t="s">
        <v>1274</v>
      </c>
      <c r="N611" s="64" t="s">
        <v>1275</v>
      </c>
    </row>
    <row r="612" spans="13:14" x14ac:dyDescent="0.25">
      <c r="M612" s="64" t="s">
        <v>1276</v>
      </c>
      <c r="N612" s="64" t="s">
        <v>1277</v>
      </c>
    </row>
  </sheetData>
  <sheetProtection algorithmName="SHA-512" hashValue="onVtFLRZAInEq2v9hR2+/6oqWZ9KjTjsYkHoDpvaMA/C8xDWWjSgXY2ScBs2W5pPlty3Eu770sFt0jtG4bHKpw==" saltValue="067zI+NC23VydKAi/4tF5A==" spinCount="100000" sheet="1" objects="1" scenarios="1"/>
  <protectedRanges>
    <protectedRange sqref="C14:C18 C7:C12 H20:I27 F20:F27 B20:C27" name="COM"/>
  </protectedRanges>
  <mergeCells count="2">
    <mergeCell ref="B44:G44"/>
    <mergeCell ref="G3:J3"/>
  </mergeCells>
  <conditionalFormatting sqref="I28:I29 B24 D10 E10:H14 K22:K26 B6:H8 B28:D29 A30:A83 B31:H193 B9:B14 E20:E27 J20:J27 P22:P25 P5:P17 H20:H27">
    <cfRule type="containsErrors" dxfId="85" priority="157">
      <formula>ISERROR(A5)</formula>
    </cfRule>
  </conditionalFormatting>
  <conditionalFormatting sqref="C10">
    <cfRule type="containsErrors" dxfId="84" priority="158">
      <formula>ISERROR(C10)</formula>
    </cfRule>
  </conditionalFormatting>
  <conditionalFormatting sqref="C15">
    <cfRule type="containsErrors" dxfId="83" priority="161">
      <formula>ISERROR(C15)</formula>
    </cfRule>
  </conditionalFormatting>
  <conditionalFormatting sqref="C16">
    <cfRule type="containsErrors" dxfId="82" priority="179">
      <formula>ISERROR(C16)</formula>
    </cfRule>
  </conditionalFormatting>
  <conditionalFormatting sqref="B20:C20">
    <cfRule type="containsText" dxfId="81" priority="175" operator="containsText" text="FALSO">
      <formula>NOT(ISERROR(SEARCH("FALSO",B20)))</formula>
    </cfRule>
    <cfRule type="containsErrors" dxfId="80" priority="176">
      <formula>ISERROR(B20)</formula>
    </cfRule>
  </conditionalFormatting>
  <conditionalFormatting sqref="D20:D27">
    <cfRule type="containsErrors" dxfId="79" priority="172">
      <formula>ISERROR(D20)</formula>
    </cfRule>
  </conditionalFormatting>
  <conditionalFormatting sqref="F20">
    <cfRule type="containsErrors" dxfId="78" priority="138">
      <formula>ISERROR(F20)</formula>
    </cfRule>
  </conditionalFormatting>
  <conditionalFormatting sqref="I20">
    <cfRule type="containsErrors" dxfId="77" priority="135">
      <formula>ISERROR(I20)</formula>
    </cfRule>
  </conditionalFormatting>
  <conditionalFormatting sqref="B21">
    <cfRule type="containsText" dxfId="76" priority="168" operator="containsText" text="FALSO">
      <formula>NOT(ISERROR(SEARCH("FALSO",B21)))</formula>
    </cfRule>
    <cfRule type="containsErrors" dxfId="75" priority="169">
      <formula>ISERROR(B21)</formula>
    </cfRule>
  </conditionalFormatting>
  <conditionalFormatting sqref="I21:I27">
    <cfRule type="containsErrors" dxfId="74" priority="155">
      <formula>ISERROR(I21)</formula>
    </cfRule>
    <cfRule type="containsErrors" dxfId="73" priority="156">
      <formula>ISERROR(I21)</formula>
    </cfRule>
  </conditionalFormatting>
  <conditionalFormatting sqref="H25:H26">
    <cfRule type="containsErrors" dxfId="72" priority="153">
      <formula>ISERROR(H25)</formula>
    </cfRule>
  </conditionalFormatting>
  <conditionalFormatting sqref="F28:H29">
    <cfRule type="containsErrors" dxfId="71" priority="180">
      <formula>ISERROR(F28)</formula>
    </cfRule>
  </conditionalFormatting>
  <conditionalFormatting sqref="J28:J29">
    <cfRule type="containsErrors" dxfId="70" priority="142">
      <formula>ISERROR(J28)</formula>
    </cfRule>
  </conditionalFormatting>
  <conditionalFormatting sqref="B30">
    <cfRule type="containsText" dxfId="69" priority="184" operator="containsText" text="FALSO">
      <formula>NOT(ISERROR(SEARCH("FALSO",B30)))</formula>
    </cfRule>
    <cfRule type="containsErrors" dxfId="68" priority="185">
      <formula>ISERROR(B30)</formula>
    </cfRule>
  </conditionalFormatting>
  <conditionalFormatting sqref="A84:A183">
    <cfRule type="containsErrors" dxfId="67" priority="193">
      <formula>ISERROR(A84)</formula>
    </cfRule>
  </conditionalFormatting>
  <conditionalFormatting sqref="C11:C13">
    <cfRule type="containsErrors" dxfId="66" priority="164">
      <formula>ISERROR(C11)</formula>
    </cfRule>
  </conditionalFormatting>
  <conditionalFormatting sqref="C17">
    <cfRule type="containsErrors" dxfId="65" priority="181">
      <formula>ISERROR(C17)</formula>
    </cfRule>
  </conditionalFormatting>
  <conditionalFormatting sqref="D11:D13">
    <cfRule type="containsText" dxfId="64" priority="159" operator="containsText" text="FALSO">
      <formula>NOT(ISERROR(SEARCH("FALSO",D11)))</formula>
    </cfRule>
    <cfRule type="containsErrors" dxfId="63" priority="160">
      <formula>ISERROR(D11)</formula>
    </cfRule>
  </conditionalFormatting>
  <conditionalFormatting sqref="H25:H27 G20:G27">
    <cfRule type="containsErrors" dxfId="62" priority="177">
      <formula>ISERROR(G20)</formula>
    </cfRule>
  </conditionalFormatting>
  <conditionalFormatting sqref="B28:B29 B5:B8 B24 B10:B14">
    <cfRule type="containsText" dxfId="61" priority="191" operator="containsText" text="FALSO">
      <formula>NOT(ISERROR(SEARCH("FALSO",B5)))</formula>
    </cfRule>
  </conditionalFormatting>
  <conditionalFormatting sqref="C30:H30 H27 D15:H18">
    <cfRule type="containsErrors" dxfId="60" priority="192">
      <formula>ISERROR(C15)</formula>
    </cfRule>
  </conditionalFormatting>
  <conditionalFormatting sqref="C14:D14">
    <cfRule type="containsErrors" dxfId="59" priority="183">
      <formula>ISERROR(C14)</formula>
    </cfRule>
  </conditionalFormatting>
  <conditionalFormatting sqref="H25:H27 F21:G21 G22:G27 F22:F23">
    <cfRule type="containsErrors" dxfId="58" priority="170">
      <formula>ISERROR(F21)</formula>
    </cfRule>
  </conditionalFormatting>
  <conditionalFormatting sqref="H25:H27">
    <cfRule type="containsErrors" dxfId="57" priority="129">
      <formula>ISERROR(H25)</formula>
    </cfRule>
  </conditionalFormatting>
  <conditionalFormatting sqref="H25:H27">
    <cfRule type="containsErrors" dxfId="56" priority="128">
      <formula>ISERROR(H25)</formula>
    </cfRule>
  </conditionalFormatting>
  <conditionalFormatting sqref="B27">
    <cfRule type="containsErrors" dxfId="55" priority="126">
      <formula>ISERROR(B27)</formula>
    </cfRule>
  </conditionalFormatting>
  <conditionalFormatting sqref="B27">
    <cfRule type="containsText" dxfId="54" priority="125" operator="containsText" text="FALSO">
      <formula>NOT(ISERROR(SEARCH("FALSO",B27)))</formula>
    </cfRule>
  </conditionalFormatting>
  <conditionalFormatting sqref="B25:B26">
    <cfRule type="containsErrors" dxfId="53" priority="116">
      <formula>ISERROR(B25)</formula>
    </cfRule>
  </conditionalFormatting>
  <conditionalFormatting sqref="B25:B26">
    <cfRule type="containsText" dxfId="52" priority="115" operator="containsText" text="FALSO">
      <formula>NOT(ISERROR(SEARCH("FALSO",B25)))</formula>
    </cfRule>
  </conditionalFormatting>
  <conditionalFormatting sqref="C26">
    <cfRule type="containsErrors" dxfId="51" priority="114">
      <formula>ISERROR(C26)</formula>
    </cfRule>
  </conditionalFormatting>
  <conditionalFormatting sqref="C26">
    <cfRule type="containsText" dxfId="50" priority="113" operator="containsText" text="FALSO">
      <formula>NOT(ISERROR(SEARCH("FALSO",C26)))</formula>
    </cfRule>
  </conditionalFormatting>
  <conditionalFormatting sqref="C27">
    <cfRule type="containsErrors" dxfId="49" priority="112">
      <formula>ISERROR(C27)</formula>
    </cfRule>
  </conditionalFormatting>
  <conditionalFormatting sqref="C27">
    <cfRule type="containsText" dxfId="48" priority="111" operator="containsText" text="FALSO">
      <formula>NOT(ISERROR(SEARCH("FALSO",C27)))</formula>
    </cfRule>
  </conditionalFormatting>
  <conditionalFormatting sqref="F24:F27">
    <cfRule type="containsErrors" dxfId="47" priority="102">
      <formula>ISERROR(F24)</formula>
    </cfRule>
  </conditionalFormatting>
  <conditionalFormatting sqref="K26">
    <cfRule type="containsErrors" dxfId="46" priority="99">
      <formula>ISERROR(K26)</formula>
    </cfRule>
  </conditionalFormatting>
  <conditionalFormatting sqref="B15">
    <cfRule type="containsText" dxfId="45" priority="97" operator="containsText" text="FALSO">
      <formula>NOT(ISERROR(SEARCH("FALSO",B15)))</formula>
    </cfRule>
  </conditionalFormatting>
  <conditionalFormatting sqref="B15">
    <cfRule type="containsErrors" dxfId="44" priority="98">
      <formula>ISERROR(B15)</formula>
    </cfRule>
  </conditionalFormatting>
  <conditionalFormatting sqref="H25:H26">
    <cfRule type="containsErrors" dxfId="43" priority="96">
      <formula>ISERROR(H25)</formula>
    </cfRule>
  </conditionalFormatting>
  <conditionalFormatting sqref="B17">
    <cfRule type="containsText" dxfId="42" priority="71" operator="containsText" text="FALSO">
      <formula>NOT(ISERROR(SEARCH("FALSO",B17)))</formula>
    </cfRule>
  </conditionalFormatting>
  <conditionalFormatting sqref="B17">
    <cfRule type="containsErrors" dxfId="41" priority="72">
      <formula>ISERROR(B17)</formula>
    </cfRule>
  </conditionalFormatting>
  <conditionalFormatting sqref="C21:C25">
    <cfRule type="containsText" dxfId="40" priority="59" operator="containsText" text="FALSO">
      <formula>NOT(ISERROR(SEARCH("FALSO",C21)))</formula>
    </cfRule>
    <cfRule type="containsErrors" dxfId="39" priority="60">
      <formula>ISERROR(C21)</formula>
    </cfRule>
  </conditionalFormatting>
  <conditionalFormatting sqref="C18">
    <cfRule type="containsErrors" dxfId="38" priority="44">
      <formula>ISERROR(C18)</formula>
    </cfRule>
  </conditionalFormatting>
  <conditionalFormatting sqref="B18">
    <cfRule type="containsText" dxfId="37" priority="45" operator="containsText" text="FALSO">
      <formula>NOT(ISERROR(SEARCH("FALSO",B18)))</formula>
    </cfRule>
  </conditionalFormatting>
  <conditionalFormatting sqref="B18">
    <cfRule type="containsErrors" dxfId="36" priority="46">
      <formula>ISERROR(B18)</formula>
    </cfRule>
  </conditionalFormatting>
  <conditionalFormatting sqref="H20:H27">
    <cfRule type="containsText" dxfId="35" priority="37" operator="containsText" text="COMERCIALIZADORA">
      <formula>NOT(ISERROR(SEARCH("COMERCIALIZADORA",H20)))</formula>
    </cfRule>
    <cfRule type="containsText" dxfId="34" priority="38" operator="containsText" text="FACTURA">
      <formula>NOT(ISERROR(SEARCH("FACTURA",H20)))</formula>
    </cfRule>
  </conditionalFormatting>
  <conditionalFormatting sqref="B9">
    <cfRule type="containsText" dxfId="33" priority="35" operator="containsText" text="FALSO">
      <formula>NOT(ISERROR(SEARCH("FALSO",B9)))</formula>
    </cfRule>
  </conditionalFormatting>
  <conditionalFormatting sqref="E9:H9">
    <cfRule type="containsErrors" dxfId="32" priority="36">
      <formula>ISERROR(E9)</formula>
    </cfRule>
  </conditionalFormatting>
  <conditionalFormatting sqref="D9">
    <cfRule type="containsErrors" dxfId="31" priority="34">
      <formula>ISERROR(D9)</formula>
    </cfRule>
  </conditionalFormatting>
  <conditionalFormatting sqref="B19">
    <cfRule type="containsErrors" dxfId="30" priority="10">
      <formula>ISERROR(B19)</formula>
    </cfRule>
  </conditionalFormatting>
  <conditionalFormatting sqref="C19">
    <cfRule type="containsText" dxfId="29" priority="11" operator="containsText" text="FALSO">
      <formula>NOT(ISERROR(SEARCH("FALSO",C19)))</formula>
    </cfRule>
    <cfRule type="containsErrors" dxfId="28" priority="12">
      <formula>ISERROR(C19)</formula>
    </cfRule>
  </conditionalFormatting>
  <conditionalFormatting sqref="D19">
    <cfRule type="containsText" dxfId="27" priority="13" operator="containsText" text="FALSO">
      <formula>NOT(ISERROR(SEARCH("FALSO",D19)))</formula>
    </cfRule>
    <cfRule type="containsErrors" dxfId="26" priority="14">
      <formula>ISERROR(D19)</formula>
    </cfRule>
  </conditionalFormatting>
  <conditionalFormatting sqref="J19">
    <cfRule type="containsErrors" dxfId="25" priority="9">
      <formula>ISERROR(J19)</formula>
    </cfRule>
  </conditionalFormatting>
  <conditionalFormatting sqref="B19">
    <cfRule type="containsText" dxfId="24" priority="15" operator="containsText" text="FALSO">
      <formula>NOT(ISERROR(SEARCH("FALSO",B19)))</formula>
    </cfRule>
  </conditionalFormatting>
  <conditionalFormatting sqref="E19:G19">
    <cfRule type="containsErrors" dxfId="23" priority="16">
      <formula>ISERROR(E19)</formula>
    </cfRule>
  </conditionalFormatting>
  <conditionalFormatting sqref="I19">
    <cfRule type="containsErrors" dxfId="22" priority="7">
      <formula>ISERROR(I19)</formula>
    </cfRule>
  </conditionalFormatting>
  <conditionalFormatting sqref="H19">
    <cfRule type="containsErrors" dxfId="21" priority="8">
      <formula>ISERROR(H19)</formula>
    </cfRule>
  </conditionalFormatting>
  <conditionalFormatting sqref="P27:P30 P32:P38">
    <cfRule type="containsErrors" dxfId="20" priority="4">
      <formula>ISERROR(P27)</formula>
    </cfRule>
  </conditionalFormatting>
  <conditionalFormatting sqref="C9">
    <cfRule type="containsErrors" dxfId="19" priority="3">
      <formula>ISERROR(C9)</formula>
    </cfRule>
  </conditionalFormatting>
  <conditionalFormatting sqref="B22:B23">
    <cfRule type="containsText" dxfId="18" priority="1" operator="containsText" text="FALSO">
      <formula>NOT(ISERROR(SEARCH("FALSO",B22)))</formula>
    </cfRule>
    <cfRule type="containsErrors" dxfId="17" priority="2">
      <formula>ISERROR(B22)</formula>
    </cfRule>
  </conditionalFormatting>
  <dataValidations disablePrompts="1" count="16">
    <dataValidation allowBlank="1" showInputMessage="1" showErrorMessage="1" promptTitle="NOMBRE DE CLIENTE" prompt="Llenar únicamente con letra mayúscula" sqref="C8" xr:uid="{DDED52C7-7101-42F1-B396-D3CA658496F0}"/>
    <dataValidation allowBlank="1" showInputMessage="1" showErrorMessage="1" promptTitle="IMPORTE" prompt="Total a pagar, tal como el contrato/simulador" sqref="C10" xr:uid="{22506588-1EA4-460A-9832-577DB427C67F}"/>
    <dataValidation allowBlank="1" showInputMessage="1" showErrorMessage="1" promptTitle="ENGANCHE" prompt="Total a pagar de enganche" sqref="C11" xr:uid="{2590C40D-B83B-4546-B8E5-BA1CCF89BE0E}"/>
    <dataValidation allowBlank="1" showInputMessage="1" showErrorMessage="1" promptTitle="DEPOSITO" prompt="Total pagado por el cliente (voucher reflejado)" sqref="C12" xr:uid="{C0401B44-102B-4236-926F-DFD5CC234D96}"/>
    <dataValidation allowBlank="1" showInputMessage="1" showErrorMessage="1" promptTitle="FECHAS" prompt="Registrar $ Monto | Fecha pago (01-ene-22)" sqref="C14" xr:uid="{E10DE20B-E686-49CF-85EF-A8461D8226D7}"/>
    <dataValidation allowBlank="1" showInputMessage="1" showErrorMessage="1" promptTitle="CONTRATO" prompt="Revisar si es fecha de contrato digital o físico" sqref="C15" xr:uid="{94BFCDD9-93D6-4B6B-8799-8A6F7F94D85A}"/>
    <dataValidation allowBlank="1" showInputMessage="1" showErrorMessage="1" promptTitle="PROMOCION" prompt="Registrar promoción vigente" sqref="C17" xr:uid="{899F3ABB-50AB-472D-BBAA-FC233A258466}"/>
    <dataValidation type="list" allowBlank="1" showInputMessage="1" showErrorMessage="1" sqref="C21" xr:uid="{FB4C8800-2E1A-40FD-BC9C-5F3FDEF9CAD1}">
      <formula1>$P$25:$P$26</formula1>
    </dataValidation>
    <dataValidation type="list" allowBlank="1" showInputMessage="1" showErrorMessage="1" sqref="C18" xr:uid="{71BF672D-5648-48E5-BC4C-C411970C994D}">
      <formula1>$P$33:$P$34</formula1>
    </dataValidation>
    <dataValidation type="list" allowBlank="1" showInputMessage="1" showErrorMessage="1" sqref="C27" xr:uid="{CBBD0B84-4178-458F-A30D-684371FB8EDC}">
      <formula1>$P$24:$P$26</formula1>
    </dataValidation>
    <dataValidation allowBlank="1" showInputMessage="1" showErrorMessage="1" promptTitle="REFERENCIA" prompt="# LOTE | CLUSTER # | CONDOMINIO_x000a_ej: 10AMATISTA 1" sqref="C9" xr:uid="{CFFAA5D6-7EE9-4233-81C9-B88D925562CC}"/>
    <dataValidation type="list" allowBlank="1" showInputMessage="1" showErrorMessage="1" prompt="Elegir el método de pago correctamente" sqref="H21 H24:H27" xr:uid="{58EC5FFB-9B3A-48EC-94A7-44A05777C4BD}">
      <formula1>$P$37:$P$40</formula1>
    </dataValidation>
    <dataValidation type="list" allowBlank="1" showInputMessage="1" showErrorMessage="1" sqref="C7" xr:uid="{87D2898E-A680-43F7-BAFF-48EE2A99F9C3}">
      <formula1>$P$6:$P$15</formula1>
    </dataValidation>
    <dataValidation type="list" allowBlank="1" showInputMessage="1" showErrorMessage="1" sqref="C20" xr:uid="{1F5595A5-D9A1-49D2-8E6B-39CE282BC13E}">
      <formula1>$P$22:$P$23</formula1>
    </dataValidation>
    <dataValidation type="list" allowBlank="1" showInputMessage="1" showErrorMessage="1" prompt="Elegir el método de pago correctamente" sqref="H20" xr:uid="{30B0489D-7659-455B-9789-B1997B64364E}">
      <formula1>$P$37:$P$39</formula1>
    </dataValidation>
    <dataValidation allowBlank="1" showInputMessage="1" showErrorMessage="1" prompt="Elegir el método de pago correctamente" sqref="H22:H23" xr:uid="{050DAD92-27EB-42F2-A090-DDE7C240F008}"/>
  </dataValidations>
  <printOptions horizontalCentered="1"/>
  <pageMargins left="0.70866141732283505" right="0.70866141732283505" top="1.5354330708661399" bottom="0.94488188976377996" header="0.31496062992126" footer="0.31496062992126"/>
  <pageSetup scale="38" fitToHeight="0" orientation="portrait" r:id="rId1"/>
  <headerFooter scaleWithDoc="0">
    <oddHeader>&amp;C&amp;G</oddHeader>
    <oddFooter>&amp;C&amp;G</oddFooter>
  </headerFooter>
  <drawing r:id="rId2"/>
  <legacyDrawingHF r:id="rId3"/>
  <tableParts count="2">
    <tablePart r:id="rId4"/>
    <tablePart r:id="rId5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FA311E6C-5243-4508-9301-F9D4314C3436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1</vt:i4>
      </vt:variant>
    </vt:vector>
  </HeadingPairs>
  <TitlesOfParts>
    <vt:vector size="2" baseType="lpstr">
      <vt:lpstr>REFERENCIA</vt:lpstr>
      <vt:lpstr>REFERENCIA!Área_de_impresión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Marisol</dc:creator>
  <cp:lastModifiedBy>524461502318</cp:lastModifiedBy>
  <cp:lastPrinted>2021-05-13T19:12:42Z</cp:lastPrinted>
  <dcterms:created xsi:type="dcterms:W3CDTF">2020-06-30T16:52:56Z</dcterms:created>
  <dcterms:modified xsi:type="dcterms:W3CDTF">2022-12-07T18:15:37Z</dcterms:modified>
</cp:coreProperties>
</file>