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ccima-my.sharepoint.com/personal/cm_comer02_gccima_onmicrosoft_com/Documents/CCIMA/1. Controller/0.- PROCEDIMIENTOS/"/>
    </mc:Choice>
  </mc:AlternateContent>
  <xr:revisionPtr revIDLastSave="158" documentId="14_{602D42BC-CA0D-4BB8-B74E-173B7B85AFFA}" xr6:coauthVersionLast="47" xr6:coauthVersionMax="47" xr10:uidLastSave="{D158D9B0-0D3B-4FC6-9FAE-6B2786584E58}"/>
  <workbookProtection workbookAlgorithmName="SHA-512" workbookHashValue="ARep/6tpwlq9MY31PW4NFXE66zH9nroWkDq+FG6DNxnbdLGpVQlCkbGpvuDAwXqQ1b8+3AVUYen8+dA6KFchYw==" workbookSaltValue="caidyTj9gNZsgcp7sMFv3Q==" workbookSpinCount="100000" lockStructure="1"/>
  <bookViews>
    <workbookView xWindow="-120" yWindow="-120" windowWidth="20730" windowHeight="11160" xr2:uid="{00000000-000D-0000-FFFF-FFFF00000000}"/>
  </bookViews>
  <sheets>
    <sheet name="REFERENCIA" sheetId="3" r:id="rId1"/>
  </sheets>
  <definedNames>
    <definedName name="_xlnm.Print_Area" localSheetId="0">REFERENCIA!$B$2:$L$61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3" l="1" a="1"/>
  <c r="B23" i="3" s="1"/>
  <c r="B22" i="3" a="1"/>
  <c r="B22" i="3" s="1"/>
  <c r="D20" i="3"/>
  <c r="F23" i="3" l="1" a="1"/>
  <c r="F23" i="3" s="1"/>
  <c r="H23" i="3" a="1"/>
  <c r="H23" i="3" s="1"/>
  <c r="C23" i="3" l="1" a="1"/>
  <c r="C23" i="3" s="1"/>
  <c r="B27" i="3" s="1" a="1"/>
  <c r="B27" i="3" s="1"/>
  <c r="H27" i="3" s="1" a="1"/>
  <c r="H27" i="3" s="1"/>
  <c r="B24" i="3" a="1"/>
  <c r="B24" i="3" s="1"/>
  <c r="H24" i="3" s="1" a="1"/>
  <c r="H24" i="3" s="1"/>
  <c r="B25" i="3" a="1"/>
  <c r="B25" i="3" s="1"/>
  <c r="H25" i="3" s="1" a="1"/>
  <c r="H25" i="3" s="1"/>
  <c r="F20" i="3"/>
  <c r="C22" i="3" l="1" a="1"/>
  <c r="C22" i="3" s="1"/>
  <c r="B26" i="3" s="1" a="1"/>
  <c r="B26" i="3" s="1"/>
  <c r="H26" i="3" s="1" a="1"/>
  <c r="H26" i="3" s="1"/>
  <c r="F22" i="3" a="1"/>
  <c r="F22" i="3" s="1"/>
  <c r="F28" i="3" s="1"/>
  <c r="H22" i="3" a="1"/>
  <c r="H22" i="3" s="1"/>
  <c r="E27" i="3"/>
  <c r="G27" i="3" s="1"/>
  <c r="J27" i="3" s="1"/>
  <c r="E26" i="3"/>
  <c r="G26" i="3" s="1"/>
  <c r="J26" i="3" s="1"/>
  <c r="E25" i="3"/>
  <c r="G25" i="3" s="1"/>
  <c r="J25" i="3" s="1"/>
  <c r="E24" i="3"/>
  <c r="G24" i="3" s="1"/>
  <c r="J24" i="3" s="1"/>
  <c r="E23" i="3"/>
  <c r="G23" i="3" s="1"/>
  <c r="J23" i="3" s="1"/>
  <c r="E22" i="3"/>
  <c r="D21" i="3"/>
  <c r="D22" i="3" s="1"/>
  <c r="D23" i="3" s="1"/>
  <c r="D24" i="3" s="1"/>
  <c r="D25" i="3" s="1"/>
  <c r="D26" i="3" s="1"/>
  <c r="D27" i="3" s="1"/>
  <c r="G22" i="3" l="1"/>
  <c r="J22" i="3" s="1"/>
  <c r="E21" i="3"/>
  <c r="G21" i="3" s="1"/>
  <c r="J21" i="3" s="1"/>
  <c r="E20" i="3"/>
  <c r="G20" i="3" s="1"/>
  <c r="C13" i="3"/>
  <c r="G3" i="3"/>
  <c r="J20" i="3" l="1"/>
  <c r="J28" i="3" s="1"/>
  <c r="G2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<sst xmlns="http://schemas.openxmlformats.org/spreadsheetml/2006/main" count="6635" uniqueCount="6623">
  <si>
    <t>COMISIONES</t>
  </si>
  <si>
    <t>CLIENTE:</t>
  </si>
  <si>
    <t>IMPORTE A COMISIONAR</t>
  </si>
  <si>
    <t>ENGANCHE (10%):</t>
  </si>
  <si>
    <t>$ DEPÓSITO:</t>
  </si>
  <si>
    <t>VS:</t>
  </si>
  <si>
    <t>COMISIONISTA</t>
  </si>
  <si>
    <t>PUESTO</t>
  </si>
  <si>
    <t>LOTE</t>
  </si>
  <si>
    <t xml:space="preserve">% COMISIÓN </t>
  </si>
  <si>
    <t>IMPORTE</t>
  </si>
  <si>
    <t>PAGAR</t>
  </si>
  <si>
    <t>ASESOR</t>
  </si>
  <si>
    <t>GERENTE</t>
  </si>
  <si>
    <t>FECHA DE CONTRATO:</t>
  </si>
  <si>
    <t>FECHA DE DEPÓSITOS:</t>
  </si>
  <si>
    <t>FUENTE DE LEAD:</t>
  </si>
  <si>
    <t>HÁBITTA: VENTA</t>
  </si>
  <si>
    <t>TIPO DE PAGO</t>
  </si>
  <si>
    <t xml:space="preserve">DESCUENTOS </t>
  </si>
  <si>
    <t>Nombre de  PROMOCIÓN:</t>
  </si>
  <si>
    <t>REGIÓN:</t>
  </si>
  <si>
    <t>QUERÉTARO</t>
  </si>
  <si>
    <t>REFERENCIA:</t>
  </si>
  <si>
    <t>DVR</t>
  </si>
  <si>
    <t>DVN</t>
  </si>
  <si>
    <t>NAVETEC: VENTA</t>
  </si>
  <si>
    <t>CAMBACEO</t>
  </si>
  <si>
    <t>CLIENTE FIEL</t>
  </si>
  <si>
    <t>CONOCIDO</t>
  </si>
  <si>
    <t>FAMILIAR</t>
  </si>
  <si>
    <t>Marketing CCIMA</t>
  </si>
  <si>
    <t>REFERIDO</t>
  </si>
  <si>
    <t>ALIANZA</t>
  </si>
  <si>
    <t>CALL PICKER</t>
  </si>
  <si>
    <t>CAMPAÑA PERSONAL</t>
  </si>
  <si>
    <t>PLAN SHERPA</t>
  </si>
  <si>
    <t>1ESTEPA 1</t>
  </si>
  <si>
    <t>PBC | E1 | 1 |128m2</t>
  </si>
  <si>
    <t>2ESTEPA 1</t>
  </si>
  <si>
    <t>PBC | E1 | 2 |128m2</t>
  </si>
  <si>
    <t>3ESTEPA 1</t>
  </si>
  <si>
    <t>PBC | E1 | 3 |128m2</t>
  </si>
  <si>
    <t>4ESTEPA 1</t>
  </si>
  <si>
    <t>PBC | E1 | 4 |128m2</t>
  </si>
  <si>
    <t>5ESTEPA 1</t>
  </si>
  <si>
    <t>PBC | E1 | 5 |128m2</t>
  </si>
  <si>
    <t>6ESTEPA 1</t>
  </si>
  <si>
    <t>PBC | E1 | 6 |128m2</t>
  </si>
  <si>
    <t>7ESTEPA 1</t>
  </si>
  <si>
    <t>PBC | E1 | 7 |128m2</t>
  </si>
  <si>
    <t>8ESTEPA 1</t>
  </si>
  <si>
    <t>PBC | E1 | 8 |128m2</t>
  </si>
  <si>
    <t>9ESTEPA 1</t>
  </si>
  <si>
    <t>PBC | E1 | 9 |128m2</t>
  </si>
  <si>
    <t>10ESTEPA 1</t>
  </si>
  <si>
    <t>PBC | E1 | 10 |128m2</t>
  </si>
  <si>
    <t>11ESTEPA 1</t>
  </si>
  <si>
    <t>PBC | E1 | 11 |128m2</t>
  </si>
  <si>
    <t>12ESTEPA 1</t>
  </si>
  <si>
    <t>PBC | E1 | 12 |128m2</t>
  </si>
  <si>
    <t>13ESTEPA 1</t>
  </si>
  <si>
    <t>PBC | E1 | 13 |128m2</t>
  </si>
  <si>
    <t>14ESTEPA 1</t>
  </si>
  <si>
    <t>PBC | E1 | 14 |128m2</t>
  </si>
  <si>
    <t>15ESTEPA 1</t>
  </si>
  <si>
    <t>PBC | E1 | 15 |128m2</t>
  </si>
  <si>
    <t>16ESTEPA 1</t>
  </si>
  <si>
    <t>PBC | E1 | 16 |128m2</t>
  </si>
  <si>
    <t>17ESTEPA 1</t>
  </si>
  <si>
    <t>PBC | E1 | 17 |128m2</t>
  </si>
  <si>
    <t>18ESTEPA 1</t>
  </si>
  <si>
    <t>PBC | E1 | 18 |128m2</t>
  </si>
  <si>
    <t>19ESTEPA 1</t>
  </si>
  <si>
    <t>PBC | E1 | 19 |128m2</t>
  </si>
  <si>
    <t>20ESTEPA 1</t>
  </si>
  <si>
    <t>PBC | E1 | 20 |128m2</t>
  </si>
  <si>
    <t>21ESTEPA 1</t>
  </si>
  <si>
    <t>PBC | E1 | 21 |128m2</t>
  </si>
  <si>
    <t>22ESTEPA 1</t>
  </si>
  <si>
    <t>PBC | E1 | 22 |128m2</t>
  </si>
  <si>
    <t>23ESTEPA 1</t>
  </si>
  <si>
    <t>PBC | E1 | 23 |128m2</t>
  </si>
  <si>
    <t>24ESTEPA 1</t>
  </si>
  <si>
    <t>PBC | E1 | 24 |128m2</t>
  </si>
  <si>
    <t>25ESTEPA 1</t>
  </si>
  <si>
    <t>PBC | E1 | 25 |128m2</t>
  </si>
  <si>
    <t>26ESTEPA 1</t>
  </si>
  <si>
    <t>PBC | E1 | 26 |128m2</t>
  </si>
  <si>
    <t>27ESTEPA 1</t>
  </si>
  <si>
    <t>PBC | E1 | 27 |128m2</t>
  </si>
  <si>
    <t>28ESTEPA 1</t>
  </si>
  <si>
    <t>PBC | E1 | 28 |128m2</t>
  </si>
  <si>
    <t>29ESTEPA 1</t>
  </si>
  <si>
    <t>PBC | E1 | 29 |128m2</t>
  </si>
  <si>
    <t>30ESTEPA 1</t>
  </si>
  <si>
    <t>PBC | E1 | 30 |128m2</t>
  </si>
  <si>
    <t>31ESTEPA 1</t>
  </si>
  <si>
    <t>PBC | E1 | 31 |128m2</t>
  </si>
  <si>
    <t>32ESTEPA 1</t>
  </si>
  <si>
    <t>PBC | E1 | 32 |128m2</t>
  </si>
  <si>
    <t>33ESTEPA 1</t>
  </si>
  <si>
    <t>PBC | E1 | 33 |180m2</t>
  </si>
  <si>
    <t>34ESTEPA 1</t>
  </si>
  <si>
    <t>PBC | E1 | 34 |180m2</t>
  </si>
  <si>
    <t>35ESTEPA 1</t>
  </si>
  <si>
    <t>PBC | E1 | 35 |180m2</t>
  </si>
  <si>
    <t>36ESTEPA 1</t>
  </si>
  <si>
    <t>PBC | E1 | 36 |180m2</t>
  </si>
  <si>
    <t>37ESTEPA 1</t>
  </si>
  <si>
    <t>PBC | E1 | 37 |160m2</t>
  </si>
  <si>
    <t>38ESTEPA 1</t>
  </si>
  <si>
    <t>PBC | E1 | 38 |160m2</t>
  </si>
  <si>
    <t>39ESTEPA 1</t>
  </si>
  <si>
    <t>PBC | E1 | 39 |160m2</t>
  </si>
  <si>
    <t>40ESTEPA 1</t>
  </si>
  <si>
    <t>PBC | E1 | 40 |160m2</t>
  </si>
  <si>
    <t>41ESTEPA 1</t>
  </si>
  <si>
    <t>PBC | E1 | 41 |160m2</t>
  </si>
  <si>
    <t>42ESTEPA 1</t>
  </si>
  <si>
    <t>PBC | E1 | 42 |160m2</t>
  </si>
  <si>
    <t>43ESTEPA 1</t>
  </si>
  <si>
    <t>PBC | E1 | 43 |160m2</t>
  </si>
  <si>
    <t>44ESTEPA 1</t>
  </si>
  <si>
    <t>PBC | E1 | 44 |160m2</t>
  </si>
  <si>
    <t>45ESTEPA 1</t>
  </si>
  <si>
    <t>PBC | E1 | 45 |160m2</t>
  </si>
  <si>
    <t>46ESTEPA 1</t>
  </si>
  <si>
    <t>PBC | E1 | 46 |160m2</t>
  </si>
  <si>
    <t>47ESTEPA 1</t>
  </si>
  <si>
    <t>PBC | E1 | 47 |160m2</t>
  </si>
  <si>
    <t>48ESTEPA 1</t>
  </si>
  <si>
    <t>PBC | E1 | 48 |160m2</t>
  </si>
  <si>
    <t>49ESTEPA 1</t>
  </si>
  <si>
    <t>PBC | E1 | 49 |152.72m2</t>
  </si>
  <si>
    <t>50ESTEPA 1</t>
  </si>
  <si>
    <t>PBC | E1 | 50 |152.6m2</t>
  </si>
  <si>
    <t>51ESTEPA 1</t>
  </si>
  <si>
    <t>PBC | E1 | 51 |152.58m2</t>
  </si>
  <si>
    <t>52ESTEPA 1</t>
  </si>
  <si>
    <t>PBC | E1 | 52 |152.56m2</t>
  </si>
  <si>
    <t>53ESTEPA 1</t>
  </si>
  <si>
    <t>PBC | E1 | 53 |152.39m2</t>
  </si>
  <si>
    <t>54ESTEPA 1</t>
  </si>
  <si>
    <t>PBC | E1 | 54 |152.39m2</t>
  </si>
  <si>
    <t>55ESTEPA 1</t>
  </si>
  <si>
    <t>PBC | E1 | 55 |152.31m2</t>
  </si>
  <si>
    <t>56ESTEPA 1</t>
  </si>
  <si>
    <t>PBC | E1 | 56 |152.28m2</t>
  </si>
  <si>
    <t>57ESTEPA 1</t>
  </si>
  <si>
    <t>PBC | E1 | 57 |152.15m2</t>
  </si>
  <si>
    <t>58ESTEPA 1</t>
  </si>
  <si>
    <t>PBC | E1 | 58 |152.05m2</t>
  </si>
  <si>
    <t>59ESTEPA 1</t>
  </si>
  <si>
    <t>PBC | E1 | 59 |152.01m2</t>
  </si>
  <si>
    <t>60ESTEPA 1</t>
  </si>
  <si>
    <t>PBC | E1 | 60 |151.92m2</t>
  </si>
  <si>
    <t>61ESTEPA 1</t>
  </si>
  <si>
    <t>PBC | E1 | 61 |151.87m2</t>
  </si>
  <si>
    <t>62ESTEPA 1</t>
  </si>
  <si>
    <t>PBC | E1 | 62 |151.86m2</t>
  </si>
  <si>
    <t>63ESTEPA 1</t>
  </si>
  <si>
    <t>PBC | E1 | 63 |151.91m2</t>
  </si>
  <si>
    <t>64ESTEPA 1</t>
  </si>
  <si>
    <t>PBC | E1 | 64 |151.91m2</t>
  </si>
  <si>
    <t>65ESTEPA 1</t>
  </si>
  <si>
    <t>PBC | E1 | 65 |151.76m2</t>
  </si>
  <si>
    <t>66ESTEPA 1</t>
  </si>
  <si>
    <t>PBC | E1 | 66 |169.84m2</t>
  </si>
  <si>
    <t>67ESTEPA 1</t>
  </si>
  <si>
    <t>PBC | E1 | 67 |140m2</t>
  </si>
  <si>
    <t>68ESTEPA 1</t>
  </si>
  <si>
    <t>PBC | E1 | 68 |140m2</t>
  </si>
  <si>
    <t>69ESTEPA 1</t>
  </si>
  <si>
    <t>PBC | E1 | 69 |140m2</t>
  </si>
  <si>
    <t>70ESTEPA 1</t>
  </si>
  <si>
    <t>PBC | E1 | 70 |140m2</t>
  </si>
  <si>
    <t>71ESTEPA 1</t>
  </si>
  <si>
    <t>PBC | E1 | 71 |140m2</t>
  </si>
  <si>
    <t>72ESTEPA 1</t>
  </si>
  <si>
    <t>PBC | E1 | 72 |140m2</t>
  </si>
  <si>
    <t>73ESTEPA 1</t>
  </si>
  <si>
    <t>PBC | E1 | 73 |140m2</t>
  </si>
  <si>
    <t>74ESTEPA 1</t>
  </si>
  <si>
    <t>PBC | E1 | 74 |140m2</t>
  </si>
  <si>
    <t>75ESTEPA 1</t>
  </si>
  <si>
    <t>PBC | E1 | 75 |160m2</t>
  </si>
  <si>
    <t>76ESTEPA 1</t>
  </si>
  <si>
    <t>PBC | E1 | 76 |160m2</t>
  </si>
  <si>
    <t>77ESTEPA 1</t>
  </si>
  <si>
    <t>PBC | E1 | 77 |160m2</t>
  </si>
  <si>
    <t>78ESTEPA 1</t>
  </si>
  <si>
    <t>PBC | E1 | 78 |160m2</t>
  </si>
  <si>
    <t>79ESTEPA 1</t>
  </si>
  <si>
    <t>PBC | E1 | 79 |160m2</t>
  </si>
  <si>
    <t>80ESTEPA 1</t>
  </si>
  <si>
    <t>PBC | E1 | 80 |160m2</t>
  </si>
  <si>
    <t>81ESTEPA 1</t>
  </si>
  <si>
    <t>PBC | E1 | 81 |160m2</t>
  </si>
  <si>
    <t>82ESTEPA 1</t>
  </si>
  <si>
    <t>PBC | E1 | 82 |160m2</t>
  </si>
  <si>
    <t>83ESTEPA 1</t>
  </si>
  <si>
    <t>PBC | E1 | 83 |161.12m2</t>
  </si>
  <si>
    <t>84ESTEPA 1</t>
  </si>
  <si>
    <t>PBC | E1 | 84 |160m2</t>
  </si>
  <si>
    <t>85ESTEPA 1</t>
  </si>
  <si>
    <t>PBC | E1 | 85 |160m2</t>
  </si>
  <si>
    <t>86ESTEPA 1</t>
  </si>
  <si>
    <t>PBC | E1 | 86 |160m2</t>
  </si>
  <si>
    <t>87ESTEPA 1</t>
  </si>
  <si>
    <t>PBC | E1 | 87 |160m2</t>
  </si>
  <si>
    <t>88ESTEPA 1</t>
  </si>
  <si>
    <t>PBC | E1 | 88 |160m2</t>
  </si>
  <si>
    <t>89ESTEPA 1</t>
  </si>
  <si>
    <t>PBC | E1 | 89 |180.92m2</t>
  </si>
  <si>
    <t>90ESTEPA 1</t>
  </si>
  <si>
    <t>PBC | E1 | 90 |138.88m2</t>
  </si>
  <si>
    <t>91ESTEPA 1</t>
  </si>
  <si>
    <t>PBC | E1 | 91 |140m2</t>
  </si>
  <si>
    <t>92ESTEPA 1</t>
  </si>
  <si>
    <t>PBC | E1 | 92 |140m2</t>
  </si>
  <si>
    <t>93ESTEPA 1</t>
  </si>
  <si>
    <t>PBC | E1 | 93 |140m2</t>
  </si>
  <si>
    <t>94ESTEPA 1</t>
  </si>
  <si>
    <t>PBC | E1 | 94 |140m2</t>
  </si>
  <si>
    <t>95ESTEPA 1</t>
  </si>
  <si>
    <t>PBC | E1 | 95 |140m2</t>
  </si>
  <si>
    <t>96ESTEPA 1</t>
  </si>
  <si>
    <t>PBC | E1 | 96 |166.52m2</t>
  </si>
  <si>
    <t>97ESTEPA 1</t>
  </si>
  <si>
    <t>PBC | E1 | 97 |160m2</t>
  </si>
  <si>
    <t>98ESTEPA 1</t>
  </si>
  <si>
    <t>PBC | E1 | 98 |160m2</t>
  </si>
  <si>
    <t>99ESTEPA 1</t>
  </si>
  <si>
    <t>PBC | E1 | 99 |160m2</t>
  </si>
  <si>
    <t>100ESTEPA 1</t>
  </si>
  <si>
    <t>PBC | E1 | 100 |160m2</t>
  </si>
  <si>
    <t>101ESTEPA 1</t>
  </si>
  <si>
    <t>PBC | E1 | 101 |160m2</t>
  </si>
  <si>
    <t>102ESTEPA 1</t>
  </si>
  <si>
    <t>PBC | E1 | 102 |160m2</t>
  </si>
  <si>
    <t>103ESTEPA 1</t>
  </si>
  <si>
    <t>PBC | E1 | 103 |160m2</t>
  </si>
  <si>
    <t>104ESTEPA 1</t>
  </si>
  <si>
    <t>PBC | E1 | 104 |160m2</t>
  </si>
  <si>
    <t>105ESTEPA 1</t>
  </si>
  <si>
    <t>PBC | E1 | 105 |160m2</t>
  </si>
  <si>
    <t>106ESTEPA 1</t>
  </si>
  <si>
    <t>PBC | E1 | 106 |160m2</t>
  </si>
  <si>
    <t>107ESTEPA 1</t>
  </si>
  <si>
    <t>PBC | E1 | 107 |160m2</t>
  </si>
  <si>
    <t>108ESTEPA 1</t>
  </si>
  <si>
    <t>PBC | E1 | 108 |139.16m2</t>
  </si>
  <si>
    <t>109ESTEPA 1</t>
  </si>
  <si>
    <t>PBC | E1 | 109 |140m2</t>
  </si>
  <si>
    <t>110ESTEPA 1</t>
  </si>
  <si>
    <t>PBC | E1 | 110 |140m2</t>
  </si>
  <si>
    <t>111ESTEPA 1</t>
  </si>
  <si>
    <t>PBC | E1 | 111 |140m2</t>
  </si>
  <si>
    <t>112ESTEPA 1</t>
  </si>
  <si>
    <t>PBC | E1 | 112 |140m2</t>
  </si>
  <si>
    <t>113ESTEPA 1</t>
  </si>
  <si>
    <t>PBC | E1 | 113 |140m2</t>
  </si>
  <si>
    <t>114ESTEPA 1</t>
  </si>
  <si>
    <t>PBC | E1 | 114 |140m2</t>
  </si>
  <si>
    <t>115ESTEPA 1</t>
  </si>
  <si>
    <t>PBC | E1 | 115 |140m2</t>
  </si>
  <si>
    <t>116ESTEPA 1</t>
  </si>
  <si>
    <t>PBC | E1 | 116 |140m2</t>
  </si>
  <si>
    <t>117ESTEPA 1</t>
  </si>
  <si>
    <t>PBC | E1 | 117 |140m2</t>
  </si>
  <si>
    <t>118ESTEPA 1</t>
  </si>
  <si>
    <t>PBC | E1 | 118 |140m2</t>
  </si>
  <si>
    <t>119ESTEPA 1</t>
  </si>
  <si>
    <t>PBC | E1 | 119 |140m2</t>
  </si>
  <si>
    <t>1ESTEPA 2</t>
  </si>
  <si>
    <t>PBC | E2 | 1 |200m2</t>
  </si>
  <si>
    <t>2ESTEPA 2</t>
  </si>
  <si>
    <t>PBC | E2 | 2 |200m2</t>
  </si>
  <si>
    <t>3ESTEPA 2</t>
  </si>
  <si>
    <t>PBC | E2 | 3 |200m2</t>
  </si>
  <si>
    <t>4ESTEPA 2</t>
  </si>
  <si>
    <t>PBC | E2 | 4 |200m2</t>
  </si>
  <si>
    <t>5ESTEPA 2</t>
  </si>
  <si>
    <t>PBC | E2 | 5 |200m2</t>
  </si>
  <si>
    <t>6ESTEPA 2</t>
  </si>
  <si>
    <t>PBC | E2 | 6 |200m2</t>
  </si>
  <si>
    <t>7ESTEPA 2</t>
  </si>
  <si>
    <t>PBC | E2 | 7 |200m2</t>
  </si>
  <si>
    <t>8ESTEPA 2</t>
  </si>
  <si>
    <t>PBC | E2 | 8 |200m2</t>
  </si>
  <si>
    <t>9ESTEPA 2</t>
  </si>
  <si>
    <t>PBC | E2 | 9 |200m2</t>
  </si>
  <si>
    <t>10ESTEPA 2</t>
  </si>
  <si>
    <t>PBC | E2 | 10 |200m2</t>
  </si>
  <si>
    <t>11ESTEPA 2</t>
  </si>
  <si>
    <t>PBC | E2 | 11 |200m2</t>
  </si>
  <si>
    <t>12ESTEPA 2</t>
  </si>
  <si>
    <t>PBC | E2 | 12 |200m2</t>
  </si>
  <si>
    <t>13ESTEPA 2</t>
  </si>
  <si>
    <t>PBC | E2 | 13 |200m2</t>
  </si>
  <si>
    <t>14ESTEPA 2</t>
  </si>
  <si>
    <t>PBC | E2 | 14 |200m2</t>
  </si>
  <si>
    <t>15ESTEPA 2</t>
  </si>
  <si>
    <t>PBC | E2 | 15 |200m2</t>
  </si>
  <si>
    <t>16ESTEPA 2</t>
  </si>
  <si>
    <t>PBC | E2 | 16 |200m2</t>
  </si>
  <si>
    <t>17ESTEPA 2</t>
  </si>
  <si>
    <t>PBC | E2 | 17 |200m2</t>
  </si>
  <si>
    <t>18ESTEPA 2</t>
  </si>
  <si>
    <t>PBC | E2 | 18 |200m2</t>
  </si>
  <si>
    <t>19ESTEPA 2</t>
  </si>
  <si>
    <t>PBC | E2 | 19 |200m2</t>
  </si>
  <si>
    <t>20ESTEPA 2</t>
  </si>
  <si>
    <t>PBC | E2 | 20 |200m2</t>
  </si>
  <si>
    <t>21ESTEPA 2</t>
  </si>
  <si>
    <t>PBC | E2 | 21 |200m2</t>
  </si>
  <si>
    <t>22ESTEPA 2</t>
  </si>
  <si>
    <t>PBC | E2 | 22 |200m2</t>
  </si>
  <si>
    <t>23ESTEPA 2</t>
  </si>
  <si>
    <t>PBC | E2 | 23 |200m2</t>
  </si>
  <si>
    <t>24ESTEPA 2</t>
  </si>
  <si>
    <t>PBC | E2 | 24 |200m2</t>
  </si>
  <si>
    <t>25ESTEPA 2</t>
  </si>
  <si>
    <t>PBC | E2 | 25 |200m2</t>
  </si>
  <si>
    <t>26ESTEPA 2</t>
  </si>
  <si>
    <t>PBC | E2 | 26 |215.16m2</t>
  </si>
  <si>
    <t>27ESTEPA 2</t>
  </si>
  <si>
    <t>PBC | E2 | 27 |265.93m2</t>
  </si>
  <si>
    <t>28ESTEPA 2</t>
  </si>
  <si>
    <t>PBC | E2 | 28 |252m2</t>
  </si>
  <si>
    <t>29ESTEPA 2</t>
  </si>
  <si>
    <t>PBC | E2 | 29 |252m2</t>
  </si>
  <si>
    <t>30ESTEPA 2</t>
  </si>
  <si>
    <t>PBC | E2 | 30 |252m2</t>
  </si>
  <si>
    <t>31ESTEPA 2</t>
  </si>
  <si>
    <t>PBC | E2 | 31 |252m2</t>
  </si>
  <si>
    <t>32ESTEPA 2</t>
  </si>
  <si>
    <t>PBC | E2 | 32 |252m2</t>
  </si>
  <si>
    <t>33ESTEPA 2</t>
  </si>
  <si>
    <t>PBC | E2 | 33 |252m2</t>
  </si>
  <si>
    <t>34ESTEPA 2</t>
  </si>
  <si>
    <t>PBC | E2 | 34 |252m2</t>
  </si>
  <si>
    <t>35ESTEPA 2</t>
  </si>
  <si>
    <t>PBC | E2 | 35 |357.18m2</t>
  </si>
  <si>
    <t>36ESTEPA 2</t>
  </si>
  <si>
    <t>PBC | E2 | 36 |255.62m2</t>
  </si>
  <si>
    <t>37ESTEPA 2</t>
  </si>
  <si>
    <t>PBC | E2 | 37 |200m2</t>
  </si>
  <si>
    <t>38ESTEPA 2</t>
  </si>
  <si>
    <t>PBC | E2 | 38 |200m2</t>
  </si>
  <si>
    <t>39ESTEPA 2</t>
  </si>
  <si>
    <t>PBC | E2 | 39 |200m2</t>
  </si>
  <si>
    <t>40ESTEPA 2</t>
  </si>
  <si>
    <t>PBC | E2 | 40 |200m2</t>
  </si>
  <si>
    <t>41ESTEPA 2</t>
  </si>
  <si>
    <t>PBC | E2 | 41 |200m2</t>
  </si>
  <si>
    <t>42ESTEPA 2</t>
  </si>
  <si>
    <t>PBC | E2 | 42 |200m2</t>
  </si>
  <si>
    <t>43ESTEPA 2</t>
  </si>
  <si>
    <t>PBC | E2 | 43 |200m2</t>
  </si>
  <si>
    <t>44ESTEPA 2</t>
  </si>
  <si>
    <t>PBC | E2 | 44 |200m2</t>
  </si>
  <si>
    <t>45ESTEPA 2</t>
  </si>
  <si>
    <t>PBC | E2 | 45 |200m2</t>
  </si>
  <si>
    <t>46ESTEPA 2</t>
  </si>
  <si>
    <t>PBC | E2 | 46 |200m2</t>
  </si>
  <si>
    <t>47ESTEPA 2</t>
  </si>
  <si>
    <t>PBC | E2 | 47 |200m2</t>
  </si>
  <si>
    <t>48ESTEPA 2</t>
  </si>
  <si>
    <t>PBC | E2 | 48 |200m2</t>
  </si>
  <si>
    <t>49ESTEPA 2</t>
  </si>
  <si>
    <t>PBC | E2 | 49 |200m2</t>
  </si>
  <si>
    <t>50ESTEPA 2</t>
  </si>
  <si>
    <t>PBC | E2 | 50 |200m2</t>
  </si>
  <si>
    <t>51ESTEPA 2</t>
  </si>
  <si>
    <t>PBC | E2 | 51 |200m2</t>
  </si>
  <si>
    <t>52ESTEPA 2</t>
  </si>
  <si>
    <t>PBC | E2 | 52 |200m2</t>
  </si>
  <si>
    <t>53ESTEPA 2</t>
  </si>
  <si>
    <t>PBC | E2 | 53 |200m2</t>
  </si>
  <si>
    <t>54ESTEPA 2</t>
  </si>
  <si>
    <t>PBC | E2 | 54 |200m2</t>
  </si>
  <si>
    <t>55ESTEPA 2</t>
  </si>
  <si>
    <t>PBC | E2 | 55 |200m2</t>
  </si>
  <si>
    <t>56ESTEPA 2</t>
  </si>
  <si>
    <t>PBC | E2 | 56 |200m2</t>
  </si>
  <si>
    <t>57ESTEPA 2</t>
  </si>
  <si>
    <t>PBC | E2 | 57 |200m2</t>
  </si>
  <si>
    <t>58ESTEPA 2</t>
  </si>
  <si>
    <t>PBC | E2 | 58 |200m2</t>
  </si>
  <si>
    <t>59ESTEPA 2</t>
  </si>
  <si>
    <t>PBC | E2 | 59 |200m2</t>
  </si>
  <si>
    <t>60ESTEPA 2</t>
  </si>
  <si>
    <t>PBC | E2 | 60 |176m2</t>
  </si>
  <si>
    <t>61ESTEPA 2</t>
  </si>
  <si>
    <t>PBC | E2 | 61 |252m2</t>
  </si>
  <si>
    <t>62ESTEPA 2</t>
  </si>
  <si>
    <t>PBC | E2 | 62 |252m2</t>
  </si>
  <si>
    <t>63ESTEPA 2</t>
  </si>
  <si>
    <t>PBC | E2 | 63 |252m2</t>
  </si>
  <si>
    <t>64ESTEPA 2</t>
  </si>
  <si>
    <t>PBC | E2 | 64 |252m2</t>
  </si>
  <si>
    <t>65ESTEPA 2</t>
  </si>
  <si>
    <t>PBC | E2 | 65 |252m2</t>
  </si>
  <si>
    <t>66ESTEPA 2</t>
  </si>
  <si>
    <t>PBC | E2 | 66 |335m2</t>
  </si>
  <si>
    <t>67ESTEPA 2</t>
  </si>
  <si>
    <t>PBC | E2 | 67 |335m2</t>
  </si>
  <si>
    <t>68ESTEPA 2</t>
  </si>
  <si>
    <t>PBC | E2 | 68 |335m2</t>
  </si>
  <si>
    <t>69ESTEPA 2</t>
  </si>
  <si>
    <t>PBC | E2 | 69 |335m2</t>
  </si>
  <si>
    <t>70ESTEPA 2</t>
  </si>
  <si>
    <t>PBC | E2 | 70 |365.15m2</t>
  </si>
  <si>
    <t>71ESTEPA 2</t>
  </si>
  <si>
    <t>PBC | E2 | 71 |349.86m2</t>
  </si>
  <si>
    <t>72ESTEPA 2</t>
  </si>
  <si>
    <t>PBC | E2 | 72 |335m2</t>
  </si>
  <si>
    <t>73ESTEPA 2</t>
  </si>
  <si>
    <t>PBC | E2 | 73 |335m2</t>
  </si>
  <si>
    <t>74ESTEPA 2</t>
  </si>
  <si>
    <t>PBC | E2 | 74 |335m2</t>
  </si>
  <si>
    <t>75ESTEPA 2</t>
  </si>
  <si>
    <t>PBC | E2 | 75 |351.37m2</t>
  </si>
  <si>
    <t>1ESTEPA 3</t>
  </si>
  <si>
    <t>PBC | E3 | 1 |420m2</t>
  </si>
  <si>
    <t>2ESTEPA 3</t>
  </si>
  <si>
    <t>PBC | E3 | 2 |420m2</t>
  </si>
  <si>
    <t>3ESTEPA 3</t>
  </si>
  <si>
    <t>PBC | E3 | 3 |420m2</t>
  </si>
  <si>
    <t>4ESTEPA 3</t>
  </si>
  <si>
    <t>PBC | E3 | 4 |420m2</t>
  </si>
  <si>
    <t>5ESTEPA 3</t>
  </si>
  <si>
    <t>PBC | E3 | 5 |420m2</t>
  </si>
  <si>
    <t>6ESTEPA 3</t>
  </si>
  <si>
    <t>PBC | E3 | 6 |420m2</t>
  </si>
  <si>
    <t>7ESTEPA 3</t>
  </si>
  <si>
    <t>PBC | E3 | 7 |420m2</t>
  </si>
  <si>
    <t>8ESTEPA 3</t>
  </si>
  <si>
    <t>PBC | E3 | 8 |420m2</t>
  </si>
  <si>
    <t>9ESTEPA 3</t>
  </si>
  <si>
    <t>PBC | E3 | 9 |420m2</t>
  </si>
  <si>
    <t>10ESTEPA 3</t>
  </si>
  <si>
    <t>PBC | E3 | 10 |420m2</t>
  </si>
  <si>
    <t>11ESTEPA 3</t>
  </si>
  <si>
    <t>PBC | E3 | 11 |420m2</t>
  </si>
  <si>
    <t>12ESTEPA 3</t>
  </si>
  <si>
    <t>PBC | E3 | 12 |420m2</t>
  </si>
  <si>
    <t>13ESTEPA 3</t>
  </si>
  <si>
    <t>PBC | E3 | 13 |513.41m2</t>
  </si>
  <si>
    <t>14ESTEPA 3</t>
  </si>
  <si>
    <t>PBC | E3 | 14 |602.82m2</t>
  </si>
  <si>
    <t>15ESTEPA 3</t>
  </si>
  <si>
    <t>PBC | E3 | 15 |504m2</t>
  </si>
  <si>
    <t>16ESTEPA 3</t>
  </si>
  <si>
    <t>PBC | E3 | 16 |504m2</t>
  </si>
  <si>
    <t>17ESTEPA 3</t>
  </si>
  <si>
    <t>PBC | E3 | 17 |504m2</t>
  </si>
  <si>
    <t>18ESTEPA 3</t>
  </si>
  <si>
    <t>PBC | E3 | 18 |504m2</t>
  </si>
  <si>
    <t>19ESTEPA 3</t>
  </si>
  <si>
    <t>PBC | E3 | 19 |504m2</t>
  </si>
  <si>
    <t>20ESTEPA 3</t>
  </si>
  <si>
    <t>PBC | E3 | 20 |390.04m2</t>
  </si>
  <si>
    <t>21ESTEPA 3</t>
  </si>
  <si>
    <t>PBC | E3 | 21 |408m2</t>
  </si>
  <si>
    <t>22ESTEPA 3</t>
  </si>
  <si>
    <t>PBC | E3 | 22 |408m2</t>
  </si>
  <si>
    <t>23ESTEPA 3</t>
  </si>
  <si>
    <t>PBC | E3 | 23 |408m2</t>
  </si>
  <si>
    <t>24ESTEPA 3</t>
  </si>
  <si>
    <t>PBC | E3 | 24 |408m2</t>
  </si>
  <si>
    <t>25ESTEPA 3</t>
  </si>
  <si>
    <t>PBC | E3 | 25 |408m2</t>
  </si>
  <si>
    <t>26ESTEPA 3</t>
  </si>
  <si>
    <t>PBC | E3 | 26 |408m2</t>
  </si>
  <si>
    <t>27ESTEPA 3</t>
  </si>
  <si>
    <t>PBC | E3 | 27 |408m2</t>
  </si>
  <si>
    <t>28ESTEPA 3</t>
  </si>
  <si>
    <t>PBC | E3 | 28 |408m2</t>
  </si>
  <si>
    <t>29ESTEPA 3</t>
  </si>
  <si>
    <t>PBC | E3 | 29 |420m2</t>
  </si>
  <si>
    <t>1PARAMO A</t>
  </si>
  <si>
    <t>PBC | PA | 1 |106.96m2</t>
  </si>
  <si>
    <t>2PARAMO A</t>
  </si>
  <si>
    <t>PBC | PA | 2 |105m2</t>
  </si>
  <si>
    <t>3PARAMO A</t>
  </si>
  <si>
    <t>PBC | PA | 3 |105m2</t>
  </si>
  <si>
    <t>4PARAMO A</t>
  </si>
  <si>
    <t>PBC | PA | 4 |105m2</t>
  </si>
  <si>
    <t>5PARAMO A</t>
  </si>
  <si>
    <t>PBC | PA | 5 |105m2</t>
  </si>
  <si>
    <t>6PARAMO A</t>
  </si>
  <si>
    <t>PBC | PA | 6 |105m2</t>
  </si>
  <si>
    <t>7PARAMO A</t>
  </si>
  <si>
    <t>PBC | PA | 7 |105m2</t>
  </si>
  <si>
    <t>8PARAMO A</t>
  </si>
  <si>
    <t>PBC | PA | 8 |105m2</t>
  </si>
  <si>
    <t>9PARAMO A</t>
  </si>
  <si>
    <t>PBC | PA | 9 |177.57m2</t>
  </si>
  <si>
    <t>10PARAMO A</t>
  </si>
  <si>
    <t>PBC | PA | 10 |172.53m2</t>
  </si>
  <si>
    <t>11PARAMO A</t>
  </si>
  <si>
    <t>PBC | PA | 11 |105.01m2</t>
  </si>
  <si>
    <t>12PARAMO A</t>
  </si>
  <si>
    <t>PBC | PA | 12 |105m2</t>
  </si>
  <si>
    <t>13PARAMO A</t>
  </si>
  <si>
    <t>PBC | PA | 13 |105m2</t>
  </si>
  <si>
    <t>14PARAMO A</t>
  </si>
  <si>
    <t>PBC | PA | 14 |105m2</t>
  </si>
  <si>
    <t>15PARAMO A</t>
  </si>
  <si>
    <t>PBC | PA | 15 |105m2</t>
  </si>
  <si>
    <t>16PARAMO A</t>
  </si>
  <si>
    <t>PBC | PA | 16 |105m2</t>
  </si>
  <si>
    <t>1PARAMO B</t>
  </si>
  <si>
    <t>PBC | PB | 1 |105m2</t>
  </si>
  <si>
    <t>2PARAMO B</t>
  </si>
  <si>
    <t>PBC | PB | 2 |105m2</t>
  </si>
  <si>
    <t>3PARAMO B</t>
  </si>
  <si>
    <t>PBC | PB | 3 |105m2</t>
  </si>
  <si>
    <t>4PARAMO B</t>
  </si>
  <si>
    <t>PBC | PB | 4 |105m2</t>
  </si>
  <si>
    <t>5PARAMO B</t>
  </si>
  <si>
    <t>PBC | PB | 5 |105m2</t>
  </si>
  <si>
    <t>6PARAMO B</t>
  </si>
  <si>
    <t>PBC | PB | 6 |105m2</t>
  </si>
  <si>
    <t>7PARAMO B</t>
  </si>
  <si>
    <t>PBC | PB | 7 |105m2</t>
  </si>
  <si>
    <t>8PARAMO B</t>
  </si>
  <si>
    <t>PBC | PB | 8 |105m2</t>
  </si>
  <si>
    <t>9PARAMO B</t>
  </si>
  <si>
    <t>PBC | PB | 9 |105m2</t>
  </si>
  <si>
    <t>10PARAMO B</t>
  </si>
  <si>
    <t>PBC | PB | 10 |105m2</t>
  </si>
  <si>
    <t>11PARAMO B</t>
  </si>
  <si>
    <t>PBC | PB | 11 |105m2</t>
  </si>
  <si>
    <t>12PARAMO B</t>
  </si>
  <si>
    <t>PBC | PB | 12 |105m2</t>
  </si>
  <si>
    <t>13PARAMO B</t>
  </si>
  <si>
    <t>PBC | PB | 13 |95.08m2</t>
  </si>
  <si>
    <t>1DESIERTO 1</t>
  </si>
  <si>
    <t>PBC | D1 | 1 |160m2</t>
  </si>
  <si>
    <t>2DESIERTO 1</t>
  </si>
  <si>
    <t>PBC | D1 | 2 |160m2</t>
  </si>
  <si>
    <t>3DESIERTO 1</t>
  </si>
  <si>
    <t>PBC | D1 | 3 |160m2</t>
  </si>
  <si>
    <t>4DESIERTO 1</t>
  </si>
  <si>
    <t>PBC | D1 | 4 |160m2</t>
  </si>
  <si>
    <t>5DESIERTO 1</t>
  </si>
  <si>
    <t>PBC | D1 | 5 |180m2</t>
  </si>
  <si>
    <t>6DESIERTO 1</t>
  </si>
  <si>
    <t>PBC | D1 | 6 |173.14m2</t>
  </si>
  <si>
    <t>7DESIERTO 1</t>
  </si>
  <si>
    <t>PBC | D1 | 7 |161.79m2</t>
  </si>
  <si>
    <t>8DESIERTO 1</t>
  </si>
  <si>
    <t>PBC | D1 | 8 |161.79m2</t>
  </si>
  <si>
    <t>9DESIERTO 1</t>
  </si>
  <si>
    <t>PBC | D1 | 9 |185.32m2</t>
  </si>
  <si>
    <t>10DESIERTO 1</t>
  </si>
  <si>
    <t>PBC | D1 | 10 |164.79m2</t>
  </si>
  <si>
    <t>11DESIERTO 1</t>
  </si>
  <si>
    <t>PBC | D1 | 11 |160m2</t>
  </si>
  <si>
    <t>12DESIERTO 1</t>
  </si>
  <si>
    <t>PBC | D1 | 12 |160m2</t>
  </si>
  <si>
    <t>13DESIERTO 1</t>
  </si>
  <si>
    <t>PBC | D1 | 13 |160m2</t>
  </si>
  <si>
    <t>14DESIERTO 1</t>
  </si>
  <si>
    <t>PBC | D1 | 14 |160m2</t>
  </si>
  <si>
    <t>15DESIERTO 1</t>
  </si>
  <si>
    <t>PBC | D1 | 15 |160m2</t>
  </si>
  <si>
    <t>16DESIERTO 1</t>
  </si>
  <si>
    <t>PBC | D1 | 16 |160m2</t>
  </si>
  <si>
    <t>17DESIERTO 1</t>
  </si>
  <si>
    <t>PBC | D1 | 17 |160m2</t>
  </si>
  <si>
    <t>18DESIERTO 1</t>
  </si>
  <si>
    <t>PBC | D1 | 18 |160m2</t>
  </si>
  <si>
    <t>19DESIERTO 1</t>
  </si>
  <si>
    <t>PBC | D1 | 19 |160m2</t>
  </si>
  <si>
    <t>20DESIERTO 1</t>
  </si>
  <si>
    <t>PBC | D1 | 20 |160m2</t>
  </si>
  <si>
    <t>21DESIERTO 1</t>
  </si>
  <si>
    <t>PBC | D1 | 21 |160m2</t>
  </si>
  <si>
    <t>22DESIERTO 1</t>
  </si>
  <si>
    <t>PBC | D1 | 22 |160m2</t>
  </si>
  <si>
    <t>23DESIERTO 1</t>
  </si>
  <si>
    <t>PBC | D1 | 23 |180m2</t>
  </si>
  <si>
    <t>24DESIERTO 1</t>
  </si>
  <si>
    <t>PBC | D1 | 24 |180m2</t>
  </si>
  <si>
    <t>25DESIERTO 1</t>
  </si>
  <si>
    <t>PBC | D1 | 25 |198.38m2</t>
  </si>
  <si>
    <t>26DESIERTO 1</t>
  </si>
  <si>
    <t>PBC | D1 | 26 |160m2</t>
  </si>
  <si>
    <t>27DESIERTO 1</t>
  </si>
  <si>
    <t>PBC | D1 | 27 |160m2</t>
  </si>
  <si>
    <t>28DESIERTO 1</t>
  </si>
  <si>
    <t>PBC | D1 | 28 |160m2</t>
  </si>
  <si>
    <t>29DESIERTO 1</t>
  </si>
  <si>
    <t>PBC | D1 | 29 |160m2</t>
  </si>
  <si>
    <t>30DESIERTO 1</t>
  </si>
  <si>
    <t>PBC | D1 | 30 |160m2</t>
  </si>
  <si>
    <t>31DESIERTO 1</t>
  </si>
  <si>
    <t>PBC | D1 | 31 |160m2</t>
  </si>
  <si>
    <t>32DESIERTO 1</t>
  </si>
  <si>
    <t>PBC | D1 | 32 |160m2</t>
  </si>
  <si>
    <t>33DESIERTO 1</t>
  </si>
  <si>
    <t>PBC | D1 | 33 |160m2</t>
  </si>
  <si>
    <t>34DESIERTO 1</t>
  </si>
  <si>
    <t>PBC | D1 | 34 |186.1m2</t>
  </si>
  <si>
    <t>35DESIERTO 1</t>
  </si>
  <si>
    <t>PBC | D1 | 35 |160m2</t>
  </si>
  <si>
    <t>36DESIERTO 1</t>
  </si>
  <si>
    <t>PBC | D1 | 36 |160m2</t>
  </si>
  <si>
    <t>37DESIERTO 1</t>
  </si>
  <si>
    <t>PBC | D1 | 37 |160m2</t>
  </si>
  <si>
    <t>38DESIERTO 1</t>
  </si>
  <si>
    <t>PBC | D1 | 38 |160m2</t>
  </si>
  <si>
    <t>39DESIERTO 1</t>
  </si>
  <si>
    <t>PBC | D1 | 39 |160m2</t>
  </si>
  <si>
    <t>40DESIERTO 1</t>
  </si>
  <si>
    <t>PBC | D1 | 40 |160m2</t>
  </si>
  <si>
    <t>41DESIERTO 1</t>
  </si>
  <si>
    <t>PBC | D1 | 41 |160m2</t>
  </si>
  <si>
    <t>42DESIERTO 1</t>
  </si>
  <si>
    <t>PBC | D1 | 42 |160m2</t>
  </si>
  <si>
    <t>43DESIERTO 1</t>
  </si>
  <si>
    <t>PBC | D1 | 43 |160m2</t>
  </si>
  <si>
    <t>44DESIERTO 1</t>
  </si>
  <si>
    <t>PBC | D1 | 44 |160m2</t>
  </si>
  <si>
    <t>45DESIERTO 1</t>
  </si>
  <si>
    <t>PBC | D1 | 45 |160m2</t>
  </si>
  <si>
    <t>46DESIERTO 1</t>
  </si>
  <si>
    <t>PBC | D1 | 46 |160m2</t>
  </si>
  <si>
    <t>47DESIERTO 1</t>
  </si>
  <si>
    <t>PBC | D1 | 47 |160m2</t>
  </si>
  <si>
    <t>48DESIERTO 1</t>
  </si>
  <si>
    <t>PBC | D1 | 48 |160m2</t>
  </si>
  <si>
    <t>49DESIERTO 1</t>
  </si>
  <si>
    <t>PBC | D1 | 49 |160m2</t>
  </si>
  <si>
    <t>50DESIERTO 1</t>
  </si>
  <si>
    <t>PBC | D1 | 50 |160m2</t>
  </si>
  <si>
    <t>51DESIERTO 1</t>
  </si>
  <si>
    <t>PBC | D1 | 51 |160m2</t>
  </si>
  <si>
    <t>52DESIERTO 1</t>
  </si>
  <si>
    <t>PBC | D1 | 52 |160m2</t>
  </si>
  <si>
    <t>53DESIERTO 1</t>
  </si>
  <si>
    <t>PBC | D1 | 53 |160m2</t>
  </si>
  <si>
    <t>54DESIERTO 1</t>
  </si>
  <si>
    <t>PBC | D1 | 54 |160m2</t>
  </si>
  <si>
    <t>55DESIERTO 1</t>
  </si>
  <si>
    <t>PBC | D1 | 55 |140m2</t>
  </si>
  <si>
    <t>56DESIERTO 1</t>
  </si>
  <si>
    <t>PBC | D1 | 56 |140m2</t>
  </si>
  <si>
    <t>57DESIERTO 1</t>
  </si>
  <si>
    <t>PBC | D1 | 57 |140m2</t>
  </si>
  <si>
    <t>58DESIERTO 1</t>
  </si>
  <si>
    <t>PBC | D1 | 58 |140m2</t>
  </si>
  <si>
    <t>59DESIERTO 1</t>
  </si>
  <si>
    <t>PBC | D1 | 59 |140m2</t>
  </si>
  <si>
    <t>60DESIERTO 1</t>
  </si>
  <si>
    <t>PBC | D1 | 60 |156.66m2</t>
  </si>
  <si>
    <t>61DESIERTO 1</t>
  </si>
  <si>
    <t>PBC | D1 | 61 |128m2</t>
  </si>
  <si>
    <t>62DESIERTO 1</t>
  </si>
  <si>
    <t>PBC | D1 | 62 |128m2</t>
  </si>
  <si>
    <t>63DESIERTO 1</t>
  </si>
  <si>
    <t>PBC | D1 | 63 |128m2</t>
  </si>
  <si>
    <t>64DESIERTO 1</t>
  </si>
  <si>
    <t>PBC | D1 | 64 |128m2</t>
  </si>
  <si>
    <t>65DESIERTO 1</t>
  </si>
  <si>
    <t>PBC | D1 | 65 |128m2</t>
  </si>
  <si>
    <t>66DESIERTO 1</t>
  </si>
  <si>
    <t>PBC | D1 | 66 |128m2</t>
  </si>
  <si>
    <t>67DESIERTO 1</t>
  </si>
  <si>
    <t>PBC | D1 | 67 |140m2</t>
  </si>
  <si>
    <t>68DESIERTO 1</t>
  </si>
  <si>
    <t>PBC | D1 | 68 |140m2</t>
  </si>
  <si>
    <t>69DESIERTO 1</t>
  </si>
  <si>
    <t>PBC | D1 | 69 |140m2</t>
  </si>
  <si>
    <t>70DESIERTO 1</t>
  </si>
  <si>
    <t>PBC | D1 | 70 |140m2</t>
  </si>
  <si>
    <t>71DESIERTO 1</t>
  </si>
  <si>
    <t>PBC | D1 | 71 |140m2</t>
  </si>
  <si>
    <t>72DESIERTO 1</t>
  </si>
  <si>
    <t>PBC | D1 | 72 |138.98m2</t>
  </si>
  <si>
    <t>73DESIERTO 1</t>
  </si>
  <si>
    <t>PBC | D1 | 73 |128.81m2</t>
  </si>
  <si>
    <t>74DESIERTO 1</t>
  </si>
  <si>
    <t>PBC | D1 | 74 |128m2</t>
  </si>
  <si>
    <t>75DESIERTO 1</t>
  </si>
  <si>
    <t>PBC | D1 | 75 |128m2</t>
  </si>
  <si>
    <t>76DESIERTO 1</t>
  </si>
  <si>
    <t>PBC | D1 | 76 |128m2</t>
  </si>
  <si>
    <t>1DESIERTO 2</t>
  </si>
  <si>
    <t>PBC | D2 | 1 |160m2</t>
  </si>
  <si>
    <t>2DESIERTO 2</t>
  </si>
  <si>
    <t>PBC | D2 | 2 |160m2</t>
  </si>
  <si>
    <t>3DESIERTO 2</t>
  </si>
  <si>
    <t>PBC | D2 | 3 |160m2</t>
  </si>
  <si>
    <t>4DESIERTO 2</t>
  </si>
  <si>
    <t>PBC | D2 | 4 |160m2</t>
  </si>
  <si>
    <t>5DESIERTO 2</t>
  </si>
  <si>
    <t>PBC | D2 | 5 |160m2</t>
  </si>
  <si>
    <t>6DESIERTO 2</t>
  </si>
  <si>
    <t>PBC | D2 | 6 |160m2</t>
  </si>
  <si>
    <t>7DESIERTO 2</t>
  </si>
  <si>
    <t>PBC | D2 | 7 |160m2</t>
  </si>
  <si>
    <t>8DESIERTO 2</t>
  </si>
  <si>
    <t>PBC | D2 | 8 |160m2</t>
  </si>
  <si>
    <t>9DESIERTO 2</t>
  </si>
  <si>
    <t>PBC | D2 | 9 |160m2</t>
  </si>
  <si>
    <t>10DESIERTO 2</t>
  </si>
  <si>
    <t>PBC | D2 | 10 |180m2</t>
  </si>
  <si>
    <t>11DESIERTO 2</t>
  </si>
  <si>
    <t>PBC | D2 | 11 |180m2</t>
  </si>
  <si>
    <t>12DESIERTO 2</t>
  </si>
  <si>
    <t>PBC | D2 | 12 |180m2</t>
  </si>
  <si>
    <t>13DESIERTO 2</t>
  </si>
  <si>
    <t>PBC | D2 | 13 |182.34m2</t>
  </si>
  <si>
    <t>14DESIERTO 2</t>
  </si>
  <si>
    <t>PBC | D2 | 14 |160m2</t>
  </si>
  <si>
    <t>15DESIERTO 2</t>
  </si>
  <si>
    <t>PBC | D2 | 15 |160m2</t>
  </si>
  <si>
    <t>16DESIERTO 2</t>
  </si>
  <si>
    <t>PBC | D2 | 16 |160m2</t>
  </si>
  <si>
    <t>17DESIERTO 2</t>
  </si>
  <si>
    <t>PBC | D2 | 17 |160m2</t>
  </si>
  <si>
    <t>18DESIERTO 2</t>
  </si>
  <si>
    <t>PBC | D2 | 18 |160m2</t>
  </si>
  <si>
    <t>19DESIERTO 2</t>
  </si>
  <si>
    <t>PBC | D2 | 19 |160m2</t>
  </si>
  <si>
    <t>20DESIERTO 2</t>
  </si>
  <si>
    <t>PBC | D2 | 20 |160m2</t>
  </si>
  <si>
    <t>21DESIERTO 2</t>
  </si>
  <si>
    <t>PBC | D2 | 21 |160m2</t>
  </si>
  <si>
    <t>22DESIERTO 2</t>
  </si>
  <si>
    <t>PBC | D2 | 22 |160m2</t>
  </si>
  <si>
    <t>23DESIERTO 2</t>
  </si>
  <si>
    <t>PBC | D2 | 23 |160m2</t>
  </si>
  <si>
    <t>24DESIERTO 2</t>
  </si>
  <si>
    <t>PBC | D2 | 24 |160m2</t>
  </si>
  <si>
    <t>25DESIERTO 2</t>
  </si>
  <si>
    <t>PBC | D2 | 25 |160m2</t>
  </si>
  <si>
    <t>26DESIERTO 2</t>
  </si>
  <si>
    <t>PBC | D2 | 26 |160m2</t>
  </si>
  <si>
    <t>27DESIERTO 2</t>
  </si>
  <si>
    <t>PBC | D2 | 27 |160m2</t>
  </si>
  <si>
    <t>28DESIERTO 2</t>
  </si>
  <si>
    <t>PBC | D2 | 28 |160m2</t>
  </si>
  <si>
    <t>29DESIERTO 2</t>
  </si>
  <si>
    <t>PBC | D2 | 29 |160m2</t>
  </si>
  <si>
    <t>30DESIERTO 2</t>
  </si>
  <si>
    <t>PBC | D2 | 30 |160m2</t>
  </si>
  <si>
    <t>31DESIERTO 2</t>
  </si>
  <si>
    <t>PBC | D2 | 31 |160m2</t>
  </si>
  <si>
    <t>32DESIERTO 2</t>
  </si>
  <si>
    <t>PBC | D2 | 32 |160m2</t>
  </si>
  <si>
    <t>33DESIERTO 2</t>
  </si>
  <si>
    <t>PBC | D2 | 33 |160m2</t>
  </si>
  <si>
    <t>34DESIERTO 2</t>
  </si>
  <si>
    <t>PBC | D2 | 34 |160m2</t>
  </si>
  <si>
    <t>35DESIERTO 2</t>
  </si>
  <si>
    <t>PBC | D2 | 35 |180m2</t>
  </si>
  <si>
    <t>36DESIERTO 2</t>
  </si>
  <si>
    <t>PBC | D2 | 36 |180m2</t>
  </si>
  <si>
    <t>37DESIERTO 2</t>
  </si>
  <si>
    <t>PBC | D2 | 37 |183.05m2</t>
  </si>
  <si>
    <t>38DESIERTO 2</t>
  </si>
  <si>
    <t>PBC | D2 | 38 |167.61m2</t>
  </si>
  <si>
    <t>39DESIERTO 2</t>
  </si>
  <si>
    <t>PBC | D2 | 39 |181.74m2</t>
  </si>
  <si>
    <t>40DESIERTO 2</t>
  </si>
  <si>
    <t>PBC | D2 | 40 |195.87m2</t>
  </si>
  <si>
    <t>41DESIERTO 2</t>
  </si>
  <si>
    <t>PBC | D2 | 41 |210m2</t>
  </si>
  <si>
    <t>42DESIERTO 2</t>
  </si>
  <si>
    <t>PBC | D2 | 42 |224.14m2</t>
  </si>
  <si>
    <t>43DESIERTO 2</t>
  </si>
  <si>
    <t>PBC | D2 | 43 |194.9m2</t>
  </si>
  <si>
    <t>44DESIERTO 2</t>
  </si>
  <si>
    <t>PBC | D2 | 44 |160m2</t>
  </si>
  <si>
    <t>45DESIERTO 2</t>
  </si>
  <si>
    <t>PBC | D2 | 45 |160m2</t>
  </si>
  <si>
    <t>46DESIERTO 2</t>
  </si>
  <si>
    <t>PBC | D2 | 46 |160m2</t>
  </si>
  <si>
    <t>47DESIERTO 2</t>
  </si>
  <si>
    <t>PBC | D2 | 47 |160m2</t>
  </si>
  <si>
    <t>48DESIERTO 2</t>
  </si>
  <si>
    <t>PBC | D2 | 48 |160m2</t>
  </si>
  <si>
    <t>49DESIERTO 2</t>
  </si>
  <si>
    <t>PBC | D2 | 49 |160m2</t>
  </si>
  <si>
    <t>50DESIERTO 2</t>
  </si>
  <si>
    <t>PBC | D2 | 50 |160m2</t>
  </si>
  <si>
    <t>51DESIERTO 2</t>
  </si>
  <si>
    <t>PBC | D2 | 51 |160m2</t>
  </si>
  <si>
    <t>52DESIERTO 2</t>
  </si>
  <si>
    <t>PBC | D2 | 52 |160m2</t>
  </si>
  <si>
    <t>53DESIERTO 2</t>
  </si>
  <si>
    <t>PBC | D2 | 53 |160m2</t>
  </si>
  <si>
    <t>54DESIERTO 2</t>
  </si>
  <si>
    <t>PBC | D2 | 54 |160m2</t>
  </si>
  <si>
    <t>55DESIERTO 2</t>
  </si>
  <si>
    <t>PBC | D2 | 55 |160m2</t>
  </si>
  <si>
    <t>56DESIERTO 2</t>
  </si>
  <si>
    <t>PBC | D2 | 56 |160m2</t>
  </si>
  <si>
    <t>57DESIERTO 2</t>
  </si>
  <si>
    <t>PBC | D2 | 57 |160m2</t>
  </si>
  <si>
    <t>58DESIERTO 2</t>
  </si>
  <si>
    <t>PBC | D2 | 58 |160m2</t>
  </si>
  <si>
    <t>59DESIERTO 2</t>
  </si>
  <si>
    <t>PBC | D2 | 59 |160m2</t>
  </si>
  <si>
    <t>60DESIERTO 2</t>
  </si>
  <si>
    <t>PBC | D2 | 60 |160m2</t>
  </si>
  <si>
    <t>61DESIERTO 2</t>
  </si>
  <si>
    <t>PBC | D2 | 61 |160m2</t>
  </si>
  <si>
    <t>62DESIERTO 2</t>
  </si>
  <si>
    <t>PBC | D2 | 62 |160m2</t>
  </si>
  <si>
    <t>63DESIERTO 2</t>
  </si>
  <si>
    <t>PBC | D2 | 63 |160m2</t>
  </si>
  <si>
    <t>64DESIERTO 2</t>
  </si>
  <si>
    <t>PBC | D2 | 64 |160m2</t>
  </si>
  <si>
    <t>65DESIERTO 2</t>
  </si>
  <si>
    <t>PBC | D2 | 65 |160m2</t>
  </si>
  <si>
    <t>66DESIERTO 2</t>
  </si>
  <si>
    <t>PBC | D2 | 66 |160m2</t>
  </si>
  <si>
    <t>67DESIERTO 2</t>
  </si>
  <si>
    <t>PBC | D2 | 67 |160m2</t>
  </si>
  <si>
    <t>68DESIERTO 2</t>
  </si>
  <si>
    <t>PBC | D2 | 68 |160m2</t>
  </si>
  <si>
    <t>69DESIERTO 2</t>
  </si>
  <si>
    <t>PBC | D2 | 69 |160m2</t>
  </si>
  <si>
    <t>70DESIERTO 2</t>
  </si>
  <si>
    <t>PBC | D2 | 70 |160m2</t>
  </si>
  <si>
    <t>71DESIERTO 2</t>
  </si>
  <si>
    <t>PBC | D2 | 71 |140m2</t>
  </si>
  <si>
    <t>72DESIERTO 2</t>
  </si>
  <si>
    <t>PBC | D2 | 72 |140m2</t>
  </si>
  <si>
    <t>73DESIERTO 2</t>
  </si>
  <si>
    <t>PBC | D2 | 73 |140m2</t>
  </si>
  <si>
    <t>74DESIERTO 2</t>
  </si>
  <si>
    <t>PBC | D2 | 74 |140m2</t>
  </si>
  <si>
    <t>75DESIERTO 2</t>
  </si>
  <si>
    <t>PBC | D2 | 75 |140m2</t>
  </si>
  <si>
    <t>76DESIERTO 2</t>
  </si>
  <si>
    <t>PBC | D2 | 76 |140m2</t>
  </si>
  <si>
    <t>77DESIERTO 2</t>
  </si>
  <si>
    <t>PBC | D2 | 77 |140m2</t>
  </si>
  <si>
    <t>78DESIERTO 2</t>
  </si>
  <si>
    <t>PBC | D2 | 78 |140m2</t>
  </si>
  <si>
    <t>79DESIERTO 2</t>
  </si>
  <si>
    <t>PBC | D2 | 79 |140m2</t>
  </si>
  <si>
    <t>80DESIERTO 2</t>
  </si>
  <si>
    <t>PBC | D2 | 80 |140m2</t>
  </si>
  <si>
    <t>81DESIERTO 2</t>
  </si>
  <si>
    <t>PBC | D2 | 81 |140m2</t>
  </si>
  <si>
    <t>82DESIERTO 2</t>
  </si>
  <si>
    <t>PBC | D2 | 82 |140m2</t>
  </si>
  <si>
    <t>83DESIERTO 2</t>
  </si>
  <si>
    <t>PBC | D2 | 83 |140m2</t>
  </si>
  <si>
    <t>84DESIERTO 2</t>
  </si>
  <si>
    <t>PBC | D2 | 84 |140m2</t>
  </si>
  <si>
    <t>85DESIERTO 2</t>
  </si>
  <si>
    <t>PBC | D2 | 85 |128m2</t>
  </si>
  <si>
    <t>86DESIERTO 2</t>
  </si>
  <si>
    <t>PBC | D2 | 86 |128m2</t>
  </si>
  <si>
    <t>87DESIERTO 2</t>
  </si>
  <si>
    <t>PBC | D2 | 87 |128m2</t>
  </si>
  <si>
    <t>88DESIERTO 2</t>
  </si>
  <si>
    <t>PBC | D2 | 88 |128m2</t>
  </si>
  <si>
    <t>89DESIERTO 2</t>
  </si>
  <si>
    <t>PBC | D2 | 89 |128m2</t>
  </si>
  <si>
    <t>90DESIERTO 2</t>
  </si>
  <si>
    <t>PBC | D2 | 90 |128m2</t>
  </si>
  <si>
    <t>91DESIERTO 2</t>
  </si>
  <si>
    <t>PBC | D2 | 91 |128m2</t>
  </si>
  <si>
    <t>92DESIERTO 2</t>
  </si>
  <si>
    <t>PBC | D2 | 92 |140m2</t>
  </si>
  <si>
    <t>93DESIERTO 2</t>
  </si>
  <si>
    <t>PBC | D2 | 93 |140m2</t>
  </si>
  <si>
    <t>94DESIERTO 2</t>
  </si>
  <si>
    <t>PBC | D2 | 94 |140m2</t>
  </si>
  <si>
    <t>95DESIERTO 2</t>
  </si>
  <si>
    <t>PBC | D2 | 95 |140m2</t>
  </si>
  <si>
    <t>96DESIERTO 2</t>
  </si>
  <si>
    <t>PBC | D2 | 96 |140m2</t>
  </si>
  <si>
    <t>97DESIERTO 2</t>
  </si>
  <si>
    <t>PBC | D2 | 97 |140m2</t>
  </si>
  <si>
    <t>98DESIERTO 2</t>
  </si>
  <si>
    <t>PBC | D2 | 98 |140m2</t>
  </si>
  <si>
    <t>99DESIERTO 2</t>
  </si>
  <si>
    <t>PBC | D2 | 99 |128m2</t>
  </si>
  <si>
    <t>100DESIERTO 2</t>
  </si>
  <si>
    <t>PBC | D2 | 100 |128m2</t>
  </si>
  <si>
    <t>101DESIERTO 2</t>
  </si>
  <si>
    <t>PBC | D2 | 101 |128m2</t>
  </si>
  <si>
    <t>102DESIERTO 2</t>
  </si>
  <si>
    <t>PBC | D2 | 102 |128m2</t>
  </si>
  <si>
    <t>103DESIERTO 2</t>
  </si>
  <si>
    <t>PBC | D2 | 103 |128m2</t>
  </si>
  <si>
    <t>104DESIERTO 2</t>
  </si>
  <si>
    <t>PBC | D2 | 104 |128m2</t>
  </si>
  <si>
    <t>105DESIERTO 2</t>
  </si>
  <si>
    <t>PBC | D2 | 105 |128m2</t>
  </si>
  <si>
    <t>1DESIERTO 3</t>
  </si>
  <si>
    <t>PBC | D3 | 1 |200m2</t>
  </si>
  <si>
    <t>2DESIERTO 3</t>
  </si>
  <si>
    <t>PBC | D3 | 2 |200m2</t>
  </si>
  <si>
    <t>3DESIERTO 3</t>
  </si>
  <si>
    <t>PBC | D3 | 3 |200m2</t>
  </si>
  <si>
    <t>4DESIERTO 3</t>
  </si>
  <si>
    <t>PBC | D3 | 4 |200m2</t>
  </si>
  <si>
    <t>5DESIERTO 3</t>
  </si>
  <si>
    <t>PBC | D3 | 5 |311.66m2</t>
  </si>
  <si>
    <t>6DESIERTO 3</t>
  </si>
  <si>
    <t>PBC | D3 | 6 |331.83m2</t>
  </si>
  <si>
    <t>7DESIERTO 3</t>
  </si>
  <si>
    <t>PBC | D3 | 7 |335m2</t>
  </si>
  <si>
    <t>8DESIERTO 3</t>
  </si>
  <si>
    <t>PBC | D3 | 8 |335m2</t>
  </si>
  <si>
    <t>9DESIERTO 3</t>
  </si>
  <si>
    <t>PBC | D3 | 9 |335m2</t>
  </si>
  <si>
    <t>10DESIERTO 3</t>
  </si>
  <si>
    <t>PBC | D3 | 10 |335m2</t>
  </si>
  <si>
    <t>11DESIERTO 3</t>
  </si>
  <si>
    <t>PBC | D3 | 11 |335m2</t>
  </si>
  <si>
    <t>12DESIERTO 3</t>
  </si>
  <si>
    <t>PBC | D3 | 12 |335m2</t>
  </si>
  <si>
    <t>13DESIERTO 3</t>
  </si>
  <si>
    <t>PBC | D3 | 13 |335m2</t>
  </si>
  <si>
    <t>14DESIERTO 3</t>
  </si>
  <si>
    <t>PBC | D3 | 14 |200m2</t>
  </si>
  <si>
    <t>15DESIERTO 3</t>
  </si>
  <si>
    <t>PBC | D3 | 15 |200m2</t>
  </si>
  <si>
    <t>16DESIERTO 3</t>
  </si>
  <si>
    <t>PBC | D3 | 16 |200m2</t>
  </si>
  <si>
    <t>17DESIERTO 3</t>
  </si>
  <si>
    <t>PBC | D3 | 17 |200m2</t>
  </si>
  <si>
    <t>18DESIERTO 3</t>
  </si>
  <si>
    <t>PBC | D3 | 18 |200m2</t>
  </si>
  <si>
    <t>19DESIERTO 3</t>
  </si>
  <si>
    <t>PBC | D3 | 19 |200m2</t>
  </si>
  <si>
    <t>20DESIERTO 3</t>
  </si>
  <si>
    <t>PBC | D3 | 20 |200m2</t>
  </si>
  <si>
    <t>21DESIERTO 3</t>
  </si>
  <si>
    <t>PBC | D3 | 21 |200m2</t>
  </si>
  <si>
    <t>22DESIERTO 3</t>
  </si>
  <si>
    <t>PBC | D3 | 22 |200m2</t>
  </si>
  <si>
    <t>23DESIERTO 3</t>
  </si>
  <si>
    <t>PBC | D3 | 23 |200m2</t>
  </si>
  <si>
    <t>24DESIERTO 3</t>
  </si>
  <si>
    <t>PBC | D3 | 24 |200m2</t>
  </si>
  <si>
    <t>25DESIERTO 3</t>
  </si>
  <si>
    <t>PBC | D3 | 25 |200m2</t>
  </si>
  <si>
    <t>26DESIERTO 3</t>
  </si>
  <si>
    <t>PBC | D3 | 26 |200m2</t>
  </si>
  <si>
    <t>27DESIERTO 3</t>
  </si>
  <si>
    <t>PBC | D3 | 27 |200m2</t>
  </si>
  <si>
    <t>28DESIERTO 3</t>
  </si>
  <si>
    <t>PBC | D3 | 28 |200m2</t>
  </si>
  <si>
    <t>29DESIERTO 3</t>
  </si>
  <si>
    <t>PBC | D3 | 29 |200m2</t>
  </si>
  <si>
    <t>30DESIERTO 3</t>
  </si>
  <si>
    <t>PBC | D3 | 30 |200m2</t>
  </si>
  <si>
    <t>31DESIERTO 3</t>
  </si>
  <si>
    <t>PBC | D3 | 31 |200m2</t>
  </si>
  <si>
    <t>32DESIERTO 3</t>
  </si>
  <si>
    <t>PBC | D3 | 32 |200m2</t>
  </si>
  <si>
    <t>33DESIERTO 3</t>
  </si>
  <si>
    <t>PBC | D3 | 33 |237.5m2</t>
  </si>
  <si>
    <t>34DESIERTO 3</t>
  </si>
  <si>
    <t>PBC | D3 | 34 |237.5m2</t>
  </si>
  <si>
    <t>35DESIERTO 3</t>
  </si>
  <si>
    <t>PBC | D3 | 35 |250.04m2</t>
  </si>
  <si>
    <t>36DESIERTO 3</t>
  </si>
  <si>
    <t>PBC | D3 | 36 |203.46m2</t>
  </si>
  <si>
    <t>37DESIERTO 3</t>
  </si>
  <si>
    <t>PBC | D3 | 37 |236.55m2</t>
  </si>
  <si>
    <t>38DESIERTO 3</t>
  </si>
  <si>
    <t>PBC | D3 | 38 |270.87m2</t>
  </si>
  <si>
    <t>39DESIERTO 3</t>
  </si>
  <si>
    <t>PBC | D3 | 39 |223.97m2</t>
  </si>
  <si>
    <t>40DESIERTO 3</t>
  </si>
  <si>
    <t>PBC | D3 | 40 |200m2</t>
  </si>
  <si>
    <t>41DESIERTO 3</t>
  </si>
  <si>
    <t>PBC | D3 | 41 |200m2</t>
  </si>
  <si>
    <t>42DESIERTO 3</t>
  </si>
  <si>
    <t>PBC | D3 | 42 |200m2</t>
  </si>
  <si>
    <t>43DESIERTO 3</t>
  </si>
  <si>
    <t>PBC | D3 | 43 |200m2</t>
  </si>
  <si>
    <t>44DESIERTO 3</t>
  </si>
  <si>
    <t>PBC | D3 | 44 |200m2</t>
  </si>
  <si>
    <t>45DESIERTO 3</t>
  </si>
  <si>
    <t>PBC | D3 | 45 |200m2</t>
  </si>
  <si>
    <t>46DESIERTO 3</t>
  </si>
  <si>
    <t>PBC | D3 | 46 |200m2</t>
  </si>
  <si>
    <t>47DESIERTO 3</t>
  </si>
  <si>
    <t>PBC | D3 | 47 |200m2</t>
  </si>
  <si>
    <t>48DESIERTO 3</t>
  </si>
  <si>
    <t>PBC | D3 | 48 |200m2</t>
  </si>
  <si>
    <t>49DESIERTO 3</t>
  </si>
  <si>
    <t>PBC | D3 | 49 |200m2</t>
  </si>
  <si>
    <t>50DESIERTO 3</t>
  </si>
  <si>
    <t>PBC | D3 | 50 |200m2</t>
  </si>
  <si>
    <t>51DESIERTO 3</t>
  </si>
  <si>
    <t>PBC | D3 | 51 |200m2</t>
  </si>
  <si>
    <t>52DESIERTO 3</t>
  </si>
  <si>
    <t>PBC | D3 | 52 |200m2</t>
  </si>
  <si>
    <t>53DESIERTO 3</t>
  </si>
  <si>
    <t>PBC | D3 | 53 |200m2</t>
  </si>
  <si>
    <t>54DESIERTO 3</t>
  </si>
  <si>
    <t>PBC | D3 | 54 |200m2</t>
  </si>
  <si>
    <t>55DESIERTO 3</t>
  </si>
  <si>
    <t>PBC | D3 | 55 |200m2</t>
  </si>
  <si>
    <t>56DESIERTO 3</t>
  </si>
  <si>
    <t>PBC | D3 | 56 |200m2</t>
  </si>
  <si>
    <t>57DESIERTO 3</t>
  </si>
  <si>
    <t>PBC | D3 | 57 |335m2</t>
  </si>
  <si>
    <t>58DESIERTO 3</t>
  </si>
  <si>
    <t>PBC | D3 | 58 |335m2</t>
  </si>
  <si>
    <t>59DESIERTO 3</t>
  </si>
  <si>
    <t>PBC | D3 | 59 |335m2</t>
  </si>
  <si>
    <t>60DESIERTO 3</t>
  </si>
  <si>
    <t>PBC | D3 | 60 |335m2</t>
  </si>
  <si>
    <t>61DESIERTO 3</t>
  </si>
  <si>
    <t>PBC | D3 | 61 |335m2</t>
  </si>
  <si>
    <t>62DESIERTO 3</t>
  </si>
  <si>
    <t>PBC | D3 | 62 |335m2</t>
  </si>
  <si>
    <t>63DESIERTO 3</t>
  </si>
  <si>
    <t>PBC | D3 | 63 |335m2</t>
  </si>
  <si>
    <t>64DESIERTO 3</t>
  </si>
  <si>
    <t>PBC | D3 | 64 |335m2</t>
  </si>
  <si>
    <t>65DESIERTO 3</t>
  </si>
  <si>
    <t>PBC | D3 | 65 |335m2</t>
  </si>
  <si>
    <t>66DESIERTO 3</t>
  </si>
  <si>
    <t>PBC | D3 | 66 |335m2</t>
  </si>
  <si>
    <t>67DESIERTO 3</t>
  </si>
  <si>
    <t>PBC | D3 | 67 |252m2</t>
  </si>
  <si>
    <t>68DESIERTO 3</t>
  </si>
  <si>
    <t>PBC | D3 | 68 |252m2</t>
  </si>
  <si>
    <t>69DESIERTO 3</t>
  </si>
  <si>
    <t>PBC | D3 | 69 |252m2</t>
  </si>
  <si>
    <t>70DESIERTO 3</t>
  </si>
  <si>
    <t>PBC | D3 | 70 |252m2</t>
  </si>
  <si>
    <t>71DESIERTO 3</t>
  </si>
  <si>
    <t>PBC | D3 | 71 |252m2</t>
  </si>
  <si>
    <t>1DESIERTO 4</t>
  </si>
  <si>
    <t>PBC | D4 | 1 |141.12m2</t>
  </si>
  <si>
    <t>2DESIERTO 4</t>
  </si>
  <si>
    <t>PBC | D4 | 2 |128m2</t>
  </si>
  <si>
    <t>3DESIERTO 4</t>
  </si>
  <si>
    <t>PBC | D4 | 3 |128m2</t>
  </si>
  <si>
    <t>4DESIERTO 4</t>
  </si>
  <si>
    <t>PBC | D4 | 4 |128m2</t>
  </si>
  <si>
    <t>5DESIERTO 4</t>
  </si>
  <si>
    <t>PBC | D4 | 5 |128m2</t>
  </si>
  <si>
    <t>6DESIERTO 4</t>
  </si>
  <si>
    <t>PBC | D4 | 6 |128m2</t>
  </si>
  <si>
    <t>7DESIERTO 4</t>
  </si>
  <si>
    <t>PBC | D4 | 7 |128m2</t>
  </si>
  <si>
    <t>8DESIERTO 4</t>
  </si>
  <si>
    <t>PBC | D4 | 8 |128m2</t>
  </si>
  <si>
    <t>9DESIERTO 4</t>
  </si>
  <si>
    <t>PBC | D4 | 9 |128m2</t>
  </si>
  <si>
    <t>10DESIERTO 4</t>
  </si>
  <si>
    <t>PBC | D4 | 10 |128m2</t>
  </si>
  <si>
    <t>11DESIERTO 4</t>
  </si>
  <si>
    <t>PBC | D4 | 11 |128m2</t>
  </si>
  <si>
    <t>12DESIERTO 4</t>
  </si>
  <si>
    <t>PBC | D4 | 12 |128m2</t>
  </si>
  <si>
    <t>13DESIERTO 4</t>
  </si>
  <si>
    <t>PBC | D4 | 13 |128m2</t>
  </si>
  <si>
    <t>14DESIERTO 4</t>
  </si>
  <si>
    <t>PBC | D4 | 14 |128m2</t>
  </si>
  <si>
    <t>15DESIERTO 4</t>
  </si>
  <si>
    <t>PBC | D4 | 15 |128m2</t>
  </si>
  <si>
    <t>16DESIERTO 4</t>
  </si>
  <si>
    <t>PBC | D4 | 16 |128m2</t>
  </si>
  <si>
    <t>17DESIERTO 4</t>
  </si>
  <si>
    <t>PBC | D4 | 17 |128m2</t>
  </si>
  <si>
    <t>18DESIERTO 4</t>
  </si>
  <si>
    <t>PBC | D4 | 18 |128m2</t>
  </si>
  <si>
    <t>19DESIERTO 4</t>
  </si>
  <si>
    <t>PBC | D4 | 19 |150.85m2</t>
  </si>
  <si>
    <t>20DESIERTO 4</t>
  </si>
  <si>
    <t>PBC | D4 | 20 |153.91m2</t>
  </si>
  <si>
    <t>21DESIERTO 4</t>
  </si>
  <si>
    <t>PBC | D4 | 21 |129.82m2</t>
  </si>
  <si>
    <t>22DESIERTO 4</t>
  </si>
  <si>
    <t>PBC | D4 | 22 |124.49m2</t>
  </si>
  <si>
    <t>23DESIERTO 4</t>
  </si>
  <si>
    <t>PBC | D4 | 23 |119.15m2</t>
  </si>
  <si>
    <t>24DESIERTO 4</t>
  </si>
  <si>
    <t>PBC | D4 | 24 |140m2</t>
  </si>
  <si>
    <t>25DESIERTO 4</t>
  </si>
  <si>
    <t>PBC | D4 | 25 |128m2</t>
  </si>
  <si>
    <t>26DESIERTO 4</t>
  </si>
  <si>
    <t>PBC | D4 | 26 |128m2</t>
  </si>
  <si>
    <t>27DESIERTO 4</t>
  </si>
  <si>
    <t>PBC | D4 | 27 |128m2</t>
  </si>
  <si>
    <t>28DESIERTO 4</t>
  </si>
  <si>
    <t>PBC | D4 | 28 |128m2</t>
  </si>
  <si>
    <t>29DESIERTO 4</t>
  </si>
  <si>
    <t>PBC | D4 | 29 |140m2</t>
  </si>
  <si>
    <t>30DESIERTO 4</t>
  </si>
  <si>
    <t>PBC | D4 | 30 |140m2</t>
  </si>
  <si>
    <t>31DESIERTO 4</t>
  </si>
  <si>
    <t>PBC | D4 | 31 |140m2</t>
  </si>
  <si>
    <t>32DESIERTO 4</t>
  </si>
  <si>
    <t>PBC | D4 | 32 |140m2</t>
  </si>
  <si>
    <t>33DESIERTO 4</t>
  </si>
  <si>
    <t>PBC | D4 | 33 |140m2</t>
  </si>
  <si>
    <t>34DESIERTO 4</t>
  </si>
  <si>
    <t>PBC | D4 | 34 |140m2</t>
  </si>
  <si>
    <t>35DESIERTO 4</t>
  </si>
  <si>
    <t>PBC | D4 | 35 |160m2</t>
  </si>
  <si>
    <t>36DESIERTO 4</t>
  </si>
  <si>
    <t>PBC | D4 | 36 |160m2</t>
  </si>
  <si>
    <t>37DESIERTO 4</t>
  </si>
  <si>
    <t>PBC | D4 | 37 |160m2</t>
  </si>
  <si>
    <t>38DESIERTO 4</t>
  </si>
  <si>
    <t>PBC | D4 | 38 |140m2</t>
  </si>
  <si>
    <t>39DESIERTO 4</t>
  </si>
  <si>
    <t>PBC | D4 | 39 |140m2</t>
  </si>
  <si>
    <t>40DESIERTO 4</t>
  </si>
  <si>
    <t>PBC | D4 | 40 |140m2</t>
  </si>
  <si>
    <t>41DESIERTO 4</t>
  </si>
  <si>
    <t>PBC | D4 | 41 |140m2</t>
  </si>
  <si>
    <t>42DESIERTO 4</t>
  </si>
  <si>
    <t>PBC | D4 | 42 |140m2</t>
  </si>
  <si>
    <t>43DESIERTO 4</t>
  </si>
  <si>
    <t>PBC | D4 | 43 |140m2</t>
  </si>
  <si>
    <t>44DESIERTO 4</t>
  </si>
  <si>
    <t>PBC | D4 | 44 |107.8m2</t>
  </si>
  <si>
    <t>45DESIERTO 4</t>
  </si>
  <si>
    <t>PBC | D4 | 45 |128m2</t>
  </si>
  <si>
    <t>46DESIERTO 4</t>
  </si>
  <si>
    <t>PBC | D4 | 46 |128m2</t>
  </si>
  <si>
    <t>47DESIERTO 4</t>
  </si>
  <si>
    <t>PBC | D4 | 47 |128m2</t>
  </si>
  <si>
    <t>48DESIERTO 4</t>
  </si>
  <si>
    <t>PBC | D4 | 48 |128m2</t>
  </si>
  <si>
    <t>49DESIERTO 4</t>
  </si>
  <si>
    <t>PBC | D4 | 49 |128m2</t>
  </si>
  <si>
    <t>50DESIERTO 4</t>
  </si>
  <si>
    <t>PBC | D4 | 50 |128m2</t>
  </si>
  <si>
    <t>51DESIERTO 4</t>
  </si>
  <si>
    <t>PBC | D4 | 51 |128m2</t>
  </si>
  <si>
    <t>52DESIERTO 4</t>
  </si>
  <si>
    <t>PBC | D4 | 52 |128m2</t>
  </si>
  <si>
    <t>53DESIERTO 4</t>
  </si>
  <si>
    <t>PBC | D4 | 53 |128m2</t>
  </si>
  <si>
    <t>54DESIERTO 4</t>
  </si>
  <si>
    <t>PBC | D4 | 54 |128m2</t>
  </si>
  <si>
    <t>55DESIERTO 4</t>
  </si>
  <si>
    <t>PBC | D4 | 55 |128m2</t>
  </si>
  <si>
    <t>56DESIERTO 4</t>
  </si>
  <si>
    <t>PBC | D4 | 56 |141.39m2</t>
  </si>
  <si>
    <t>57DESIERTO 4</t>
  </si>
  <si>
    <t>PBC | D4 | 57 |176.18m2</t>
  </si>
  <si>
    <t>58DESIERTO 4</t>
  </si>
  <si>
    <t>PBC | D4 | 58 |128m2</t>
  </si>
  <si>
    <t>59DESIERTO 4</t>
  </si>
  <si>
    <t>PBC | D4 | 59 |128m2</t>
  </si>
  <si>
    <t>60DESIERTO 4</t>
  </si>
  <si>
    <t>PBC | D4 | 60 |128m2</t>
  </si>
  <si>
    <t>61DESIERTO 4</t>
  </si>
  <si>
    <t>PBC | D4 | 61 |128m2</t>
  </si>
  <si>
    <t>62DESIERTO 4</t>
  </si>
  <si>
    <t>PBC | D4 | 62 |128m2</t>
  </si>
  <si>
    <t>63DESIERTO 4</t>
  </si>
  <si>
    <t>PBC | D4 | 63 |128m2</t>
  </si>
  <si>
    <t>64DESIERTO 4</t>
  </si>
  <si>
    <t>PBC | D4 | 64 |128m2</t>
  </si>
  <si>
    <t>65DESIERTO 4</t>
  </si>
  <si>
    <t>PBC | D4 | 65 |128m2</t>
  </si>
  <si>
    <t>66DESIERTO 4</t>
  </si>
  <si>
    <t>PBC | D4 | 66 |159.39m2</t>
  </si>
  <si>
    <t>67DESIERTO 4</t>
  </si>
  <si>
    <t>PBC | D4 | 67 |144m2</t>
  </si>
  <si>
    <t>68DESIERTO 4</t>
  </si>
  <si>
    <t>PBC | D4 | 68 |144m2</t>
  </si>
  <si>
    <t>69DESIERTO 4</t>
  </si>
  <si>
    <t>PBC | D4 | 69 |144m2</t>
  </si>
  <si>
    <t>70DESIERTO 4</t>
  </si>
  <si>
    <t>PBC | D4 | 70 |144m2</t>
  </si>
  <si>
    <t>71DESIERTO 4</t>
  </si>
  <si>
    <t>PBC | D4 | 71 |144m2</t>
  </si>
  <si>
    <t>72DESIERTO 4</t>
  </si>
  <si>
    <t>PBC | D4 | 72 |140.9m2</t>
  </si>
  <si>
    <t>73DESIERTO 4</t>
  </si>
  <si>
    <t>PBC | D4 | 73 |140.48m2</t>
  </si>
  <si>
    <t>74DESIERTO 4</t>
  </si>
  <si>
    <t>PBC | D4 | 74 |128m2</t>
  </si>
  <si>
    <t>75DESIERTO 4</t>
  </si>
  <si>
    <t>PBC | D4 | 75 |128m2</t>
  </si>
  <si>
    <t>76DESIERTO 4</t>
  </si>
  <si>
    <t>PBC | D4 | 76 |128m2</t>
  </si>
  <si>
    <t>77DESIERTO 4</t>
  </si>
  <si>
    <t>PBC | D4 | 77 |128m2</t>
  </si>
  <si>
    <t>78DESIERTO 4</t>
  </si>
  <si>
    <t>PBC | D4 | 78 |128m2</t>
  </si>
  <si>
    <t>79DESIERTO 4</t>
  </si>
  <si>
    <t>PBC | D4 | 79 |128m2</t>
  </si>
  <si>
    <t>80DESIERTO 4</t>
  </si>
  <si>
    <t>PBC | D4 | 80 |128m2</t>
  </si>
  <si>
    <t>81DESIERTO 4</t>
  </si>
  <si>
    <t>PBC | D4 | 81 |128m2</t>
  </si>
  <si>
    <t>82DESIERTO 4</t>
  </si>
  <si>
    <t>PBC | D4 | 82 |128m2</t>
  </si>
  <si>
    <t>83DESIERTO 4</t>
  </si>
  <si>
    <t>PBC | D4 | 83 |128m2</t>
  </si>
  <si>
    <t>84DESIERTO 4</t>
  </si>
  <si>
    <t>PBC | D4 | 84 |128m2</t>
  </si>
  <si>
    <t>85DESIERTO 4</t>
  </si>
  <si>
    <t>PBC | D4 | 85 |128m2</t>
  </si>
  <si>
    <t>86DESIERTO 4</t>
  </si>
  <si>
    <t>PBC | D4 | 86 |128m2</t>
  </si>
  <si>
    <t>87DESIERTO 4</t>
  </si>
  <si>
    <t>PBC | D4 | 87 |128m2</t>
  </si>
  <si>
    <t>88DESIERTO 4</t>
  </si>
  <si>
    <t>PBC | D4 | 88 |128m2</t>
  </si>
  <si>
    <t>89DESIERTO 4</t>
  </si>
  <si>
    <t>PBC | D4 | 89 |128m2</t>
  </si>
  <si>
    <t>90DESIERTO 4</t>
  </si>
  <si>
    <t>PBC | D4 | 90 |128m2</t>
  </si>
  <si>
    <t>91DESIERTO 4</t>
  </si>
  <si>
    <t>PBC | D4 | 91 |128m2</t>
  </si>
  <si>
    <t>92DESIERTO 4</t>
  </si>
  <si>
    <t>PBC | D4 | 92 |128m2</t>
  </si>
  <si>
    <t>93DESIERTO 4</t>
  </si>
  <si>
    <t>PBC | D4 | 93 |128m2</t>
  </si>
  <si>
    <t>94DESIERTO 4</t>
  </si>
  <si>
    <t>PBC | D4 | 94 |128m2</t>
  </si>
  <si>
    <t>95DESIERTO 4</t>
  </si>
  <si>
    <t>PBC | D4 | 95 |128m2</t>
  </si>
  <si>
    <t>96DESIERTO 4</t>
  </si>
  <si>
    <t>PBC | D4 | 96 |140.96m2</t>
  </si>
  <si>
    <t>97DESIERTO 4</t>
  </si>
  <si>
    <t>PBC | D4 | 97 |140.96m2</t>
  </si>
  <si>
    <t>1TAIGA 1</t>
  </si>
  <si>
    <t>PBC | T1 | 1 |172.55m2</t>
  </si>
  <si>
    <t>2TAIGA 1</t>
  </si>
  <si>
    <t>PBC | T1 | 2 |160m2</t>
  </si>
  <si>
    <t>3TAIGA 1</t>
  </si>
  <si>
    <t>PBC | T1 | 3 |160m2</t>
  </si>
  <si>
    <t>4TAIGA 1</t>
  </si>
  <si>
    <t>PBC | T1 | 4 |160m2</t>
  </si>
  <si>
    <t>5TAIGA 1</t>
  </si>
  <si>
    <t>PBC | T1 | 5 |160m2</t>
  </si>
  <si>
    <t>6TAIGA 1</t>
  </si>
  <si>
    <t>PBC | T1 | 6 |160m2</t>
  </si>
  <si>
    <t>7TAIGA 1</t>
  </si>
  <si>
    <t>PBC | T1 | 7 |160m2</t>
  </si>
  <si>
    <t>8TAIGA 1</t>
  </si>
  <si>
    <t>PBC | T1 | 8 |160m2</t>
  </si>
  <si>
    <t>9TAIGA 1</t>
  </si>
  <si>
    <t>PBC | T1 | 9 |160m2</t>
  </si>
  <si>
    <t>10TAIGA 1</t>
  </si>
  <si>
    <t>PBC | T1 | 10 |160m2</t>
  </si>
  <si>
    <t>11TAIGA 1</t>
  </si>
  <si>
    <t>PBC | T1 | 11 |160m2</t>
  </si>
  <si>
    <t>12TAIGA 1</t>
  </si>
  <si>
    <t>PBC | T1 | 12 |160m2</t>
  </si>
  <si>
    <t>13TAIGA 1</t>
  </si>
  <si>
    <t>PBC | T1 | 13 |160m2</t>
  </si>
  <si>
    <t>14TAIGA 1</t>
  </si>
  <si>
    <t>PBC | T1 | 14 |160m2</t>
  </si>
  <si>
    <t>15TAIGA 1</t>
  </si>
  <si>
    <t>PBC | T1 | 15 |160m2</t>
  </si>
  <si>
    <t>16TAIGA 1</t>
  </si>
  <si>
    <t>PBC | T1 | 16 |160m2</t>
  </si>
  <si>
    <t>17TAIGA 1</t>
  </si>
  <si>
    <t>PBC | T1 | 17 |160m2</t>
  </si>
  <si>
    <t>18TAIGA 1</t>
  </si>
  <si>
    <t>PBC | T1 | 18 |160m2</t>
  </si>
  <si>
    <t>19TAIGA 1</t>
  </si>
  <si>
    <t>PBC | T1 | 19 |160m2</t>
  </si>
  <si>
    <t>20TAIGA 1</t>
  </si>
  <si>
    <t>PBC | T1 | 20 |160m2</t>
  </si>
  <si>
    <t>21TAIGA 1</t>
  </si>
  <si>
    <t>PBC | T1 | 21 |254.19m2</t>
  </si>
  <si>
    <t>22TAIGA 1</t>
  </si>
  <si>
    <t>PBC | T1 | 22 |114.64m2</t>
  </si>
  <si>
    <t>23TAIGA 1</t>
  </si>
  <si>
    <t>PBC | T1 | 23 |122.7m2</t>
  </si>
  <si>
    <t>24TAIGA 1</t>
  </si>
  <si>
    <t>PBC | T1 | 24 |130.04m2</t>
  </si>
  <si>
    <t>25TAIGA 1</t>
  </si>
  <si>
    <t>PBC | T1 | 25 |136.66m2</t>
  </si>
  <si>
    <t>26TAIGA 1</t>
  </si>
  <si>
    <t>PBC | T1 | 26 |142.56m2</t>
  </si>
  <si>
    <t>27TAIGA 1</t>
  </si>
  <si>
    <t>PBC | T1 | 27 |147.74m2</t>
  </si>
  <si>
    <t>28TAIGA 1</t>
  </si>
  <si>
    <t>PBC | T1 | 28 |152.19m2</t>
  </si>
  <si>
    <t>29TAIGA 1</t>
  </si>
  <si>
    <t>PBC | T1 | 29 |155.92m2</t>
  </si>
  <si>
    <t>30TAIGA 1</t>
  </si>
  <si>
    <t>PBC | T1 | 30 |158.92m2</t>
  </si>
  <si>
    <t>31TAIGA 1</t>
  </si>
  <si>
    <t>PBC | T1 | 31 |161.2m2</t>
  </si>
  <si>
    <t>32TAIGA 1</t>
  </si>
  <si>
    <t>PBC | T1 | 32 |162.75m2</t>
  </si>
  <si>
    <t>33TAIGA 1</t>
  </si>
  <si>
    <t>PBC | T1 | 33 |163.57m2</t>
  </si>
  <si>
    <t>34TAIGA 1</t>
  </si>
  <si>
    <t>PBC | T1 | 34 |163.66m2</t>
  </si>
  <si>
    <t>35TAIGA 1</t>
  </si>
  <si>
    <t>PBC | T1 | 35 |164.94m2</t>
  </si>
  <si>
    <t>36TAIGA 1</t>
  </si>
  <si>
    <t>PBC | T1 | 36 |168.42m2</t>
  </si>
  <si>
    <t>37TAIGA 1</t>
  </si>
  <si>
    <t>PBC | T1 | 37 |170.51m2</t>
  </si>
  <si>
    <t>38TAIGA 1</t>
  </si>
  <si>
    <t>PBC | T1 | 38 |128m2</t>
  </si>
  <si>
    <t>39TAIGA 1</t>
  </si>
  <si>
    <t>PBC | T1 | 39 |128m2</t>
  </si>
  <si>
    <t>40TAIGA 1</t>
  </si>
  <si>
    <t>PBC | T1 | 40 |128m2</t>
  </si>
  <si>
    <t>41TAIGA 1</t>
  </si>
  <si>
    <t>PBC | T1 | 41 |128m2</t>
  </si>
  <si>
    <t>42TAIGA 1</t>
  </si>
  <si>
    <t>PBC | T1 | 42 |128m2</t>
  </si>
  <si>
    <t>43TAIGA 1</t>
  </si>
  <si>
    <t>PBC | T1 | 43 |128m2</t>
  </si>
  <si>
    <t>44TAIGA 1</t>
  </si>
  <si>
    <t>PBC | T1 | 44 |128m2</t>
  </si>
  <si>
    <t>45TAIGA 1</t>
  </si>
  <si>
    <t>PBC | T1 | 45 |128m2</t>
  </si>
  <si>
    <t>46TAIGA 1</t>
  </si>
  <si>
    <t>PBC | T1 | 46 |128m2</t>
  </si>
  <si>
    <t>47TAIGA 1</t>
  </si>
  <si>
    <t>PBC | T1 | 47 |128m2</t>
  </si>
  <si>
    <t>48TAIGA 1</t>
  </si>
  <si>
    <t>PBC | T1 | 48 |128m2</t>
  </si>
  <si>
    <t>49TAIGA 1</t>
  </si>
  <si>
    <t>PBC | T1 | 49 |128m2</t>
  </si>
  <si>
    <t>50TAIGA 1</t>
  </si>
  <si>
    <t>PBC | T1 | 50 |128m2</t>
  </si>
  <si>
    <t>51TAIGA 1</t>
  </si>
  <si>
    <t>PBC | T1 | 51 |128m2</t>
  </si>
  <si>
    <t>52TAIGA 1</t>
  </si>
  <si>
    <t>PBC | T1 | 52 |128m2</t>
  </si>
  <si>
    <t>53TAIGA 1</t>
  </si>
  <si>
    <t>PBC | T1 | 53 |128m2</t>
  </si>
  <si>
    <t>54TAIGA 1</t>
  </si>
  <si>
    <t>PBC | T1 | 54 |128m2</t>
  </si>
  <si>
    <t>55TAIGA 1</t>
  </si>
  <si>
    <t>PBC | T1 | 55 |128m2</t>
  </si>
  <si>
    <t>56TAIGA 1</t>
  </si>
  <si>
    <t>PBC | T1 | 56 |128m2</t>
  </si>
  <si>
    <t>57TAIGA 1</t>
  </si>
  <si>
    <t>PBC | T1 | 57 |128m2</t>
  </si>
  <si>
    <t>58TAIGA 1</t>
  </si>
  <si>
    <t>PBC | T1 | 58 |128m2</t>
  </si>
  <si>
    <t>59TAIGA 1</t>
  </si>
  <si>
    <t>PBC | T1 | 59 |128m2</t>
  </si>
  <si>
    <t>60TAIGA 1</t>
  </si>
  <si>
    <t>PBC | T1 | 60 |128m2</t>
  </si>
  <si>
    <t>61TAIGA 1</t>
  </si>
  <si>
    <t>PBC | T1 | 61 |128m2</t>
  </si>
  <si>
    <t>62TAIGA 1</t>
  </si>
  <si>
    <t>PBC | T1 | 62 |128m2</t>
  </si>
  <si>
    <t>63TAIGA 1</t>
  </si>
  <si>
    <t>PBC | T1 | 63 |140m2</t>
  </si>
  <si>
    <t>64TAIGA 1</t>
  </si>
  <si>
    <t>PBC | T1 | 64 |140m2</t>
  </si>
  <si>
    <t>65TAIGA 1</t>
  </si>
  <si>
    <t>PBC | T1 | 65 |140m2</t>
  </si>
  <si>
    <t>66TAIGA 1</t>
  </si>
  <si>
    <t>PBC | T1 | 66 |140m2</t>
  </si>
  <si>
    <t>67TAIGA 1</t>
  </si>
  <si>
    <t>PBC | T1 | 67 |184.67m2</t>
  </si>
  <si>
    <t>68TAIGA 1</t>
  </si>
  <si>
    <t>PBC | T1 | 68 |128m2</t>
  </si>
  <si>
    <t>69TAIGA 1</t>
  </si>
  <si>
    <t>PBC | T1 | 69 |128m2</t>
  </si>
  <si>
    <t>70TAIGA 1</t>
  </si>
  <si>
    <t>PBC | T1 | 70 |128m2</t>
  </si>
  <si>
    <t>71TAIGA 1</t>
  </si>
  <si>
    <t>PBC | T1 | 71 |128m2</t>
  </si>
  <si>
    <t>72TAIGA 1</t>
  </si>
  <si>
    <t>PBC | T1 | 72 |128m2</t>
  </si>
  <si>
    <t>73TAIGA 1</t>
  </si>
  <si>
    <t>PBC | T1 | 73 |164.95m2</t>
  </si>
  <si>
    <t>74TAIGA 1</t>
  </si>
  <si>
    <t>PBC | T1 | 74 |136.78m2</t>
  </si>
  <si>
    <t>75TAIGA 1</t>
  </si>
  <si>
    <t>PBC | T1 | 75 |140m2</t>
  </si>
  <si>
    <t>76TAIGA 1</t>
  </si>
  <si>
    <t>PBC | T1 | 76 |140m2</t>
  </si>
  <si>
    <t>77TAIGA 1</t>
  </si>
  <si>
    <t>PBC | T1 | 77 |140m2</t>
  </si>
  <si>
    <t>78TAIGA 1</t>
  </si>
  <si>
    <t>PBC | T1 | 78 |140m2</t>
  </si>
  <si>
    <t>79TAIGA 1</t>
  </si>
  <si>
    <t>PBC | T1 | 79 |140m2</t>
  </si>
  <si>
    <t>80TAIGA 1</t>
  </si>
  <si>
    <t>PBC | T1 | 80 |140m2</t>
  </si>
  <si>
    <t>81TAIGA 1</t>
  </si>
  <si>
    <t>PBC | T1 | 81 |143.42m2</t>
  </si>
  <si>
    <t>82TAIGA 1</t>
  </si>
  <si>
    <t>PBC | T1 | 82 |126.46m2</t>
  </si>
  <si>
    <t>83TAIGA 1</t>
  </si>
  <si>
    <t>PBC | T1 | 83 |128m2</t>
  </si>
  <si>
    <t>84TAIGA 1</t>
  </si>
  <si>
    <t>PBC | T1 | 84 |128m2</t>
  </si>
  <si>
    <t>85TAIGA 1</t>
  </si>
  <si>
    <t>PBC | T1 | 85 |128m2</t>
  </si>
  <si>
    <t>86TAIGA 1</t>
  </si>
  <si>
    <t>PBC | T1 | 86 |128m2</t>
  </si>
  <si>
    <t>87TAIGA 1</t>
  </si>
  <si>
    <t>PBC | T1 | 87 |128m2</t>
  </si>
  <si>
    <t>88TAIGA 1</t>
  </si>
  <si>
    <t>PBC | T1 | 88 |128m2</t>
  </si>
  <si>
    <t>89TAIGA 1</t>
  </si>
  <si>
    <t>PBC | T1 | 89 |128m2</t>
  </si>
  <si>
    <t>90TAIGA 1</t>
  </si>
  <si>
    <t>PBC | T1 | 90 |138.18m2</t>
  </si>
  <si>
    <t>91TAIGA 1</t>
  </si>
  <si>
    <t>PBC | T1 | 91 |182.34m2</t>
  </si>
  <si>
    <t>92TAIGA 1</t>
  </si>
  <si>
    <t>PBC | T1 | 92 |157.5m2</t>
  </si>
  <si>
    <t>93TAIGA 1</t>
  </si>
  <si>
    <t>PBC | T1 | 93 |157.5m2</t>
  </si>
  <si>
    <t>94TAIGA 1</t>
  </si>
  <si>
    <t>PBC | T1 | 94 |140m2</t>
  </si>
  <si>
    <t>95TAIGA 1</t>
  </si>
  <si>
    <t>PBC | T1 | 95 |140m2</t>
  </si>
  <si>
    <t>96TAIGA 1</t>
  </si>
  <si>
    <t>PBC | T1 | 96 |140m2</t>
  </si>
  <si>
    <t>97TAIGA 1</t>
  </si>
  <si>
    <t>PBC | T1 | 97 |140m2</t>
  </si>
  <si>
    <t>98TAIGA 1</t>
  </si>
  <si>
    <t>PBC | T1 | 98 |140m2</t>
  </si>
  <si>
    <t>99TAIGA 1</t>
  </si>
  <si>
    <t>PBC | T1 | 99 |140m2</t>
  </si>
  <si>
    <t>100TAIGA 1</t>
  </si>
  <si>
    <t>PBC | T1 | 100 |152.17m2</t>
  </si>
  <si>
    <t>101TAIGA 1</t>
  </si>
  <si>
    <t>PBC | T1 | 101 |127.06m2</t>
  </si>
  <si>
    <t>102TAIGA 1</t>
  </si>
  <si>
    <t>PBC | T1 | 102 |128m2</t>
  </si>
  <si>
    <t>103TAIGA 1</t>
  </si>
  <si>
    <t>PBC | T1 | 103 |128m2</t>
  </si>
  <si>
    <t>104TAIGA 1</t>
  </si>
  <si>
    <t>PBC | T1 | 104 |128m2</t>
  </si>
  <si>
    <t>105TAIGA 1</t>
  </si>
  <si>
    <t>PBC | T1 | 105 |128m2</t>
  </si>
  <si>
    <t>106TAIGA 1</t>
  </si>
  <si>
    <t>PBC | T1 | 106 |128m2</t>
  </si>
  <si>
    <t>107TAIGA 1</t>
  </si>
  <si>
    <t>PBC | T1 | 107 |128m2</t>
  </si>
  <si>
    <t>108TAIGA 1</t>
  </si>
  <si>
    <t>PBC | T1 | 108 |128m2</t>
  </si>
  <si>
    <t>109TAIGA 1</t>
  </si>
  <si>
    <t>PBC | T1 | 109 |128m2</t>
  </si>
  <si>
    <t>110TAIGA 1</t>
  </si>
  <si>
    <t>PBC | T1 | 110 |128m2</t>
  </si>
  <si>
    <t>111TAIGA 1</t>
  </si>
  <si>
    <t>PBC | T1 | 111 |128m2</t>
  </si>
  <si>
    <t>112TAIGA 1</t>
  </si>
  <si>
    <t>PBC | T1 | 112 |138.18m2</t>
  </si>
  <si>
    <t>1TAIGA 2</t>
  </si>
  <si>
    <t>PBC | T2 | 1 |200m2</t>
  </si>
  <si>
    <t>2TAIGA 2</t>
  </si>
  <si>
    <t>PBC | T2 | 2 |200m2</t>
  </si>
  <si>
    <t>3TAIGA 2</t>
  </si>
  <si>
    <t>PBC | T2 | 3 |200m2</t>
  </si>
  <si>
    <t>4TAIGA 2</t>
  </si>
  <si>
    <t>PBC | T2 | 4 |200m2</t>
  </si>
  <si>
    <t>5TAIGA 2</t>
  </si>
  <si>
    <t>PBC | T2 | 5 |200m2</t>
  </si>
  <si>
    <t>6TAIGA 2</t>
  </si>
  <si>
    <t>PBC | T2 | 6 |200m2</t>
  </si>
  <si>
    <t>7TAIGA 2</t>
  </si>
  <si>
    <t>PBC | T2 | 7 |200m2</t>
  </si>
  <si>
    <t>8TAIGA 2</t>
  </si>
  <si>
    <t>PBC | T2 | 8 |200m2</t>
  </si>
  <si>
    <t>9TAIGA 2</t>
  </si>
  <si>
    <t>PBC | T2 | 9 |200m2</t>
  </si>
  <si>
    <t>10TAIGA 2</t>
  </si>
  <si>
    <t>PBC | T2 | 10 |200m2</t>
  </si>
  <si>
    <t>11TAIGA 2</t>
  </si>
  <si>
    <t>PBC | T2 | 11 |278.66m2</t>
  </si>
  <si>
    <t>12TAIGA 2</t>
  </si>
  <si>
    <t>PBC | T2 | 12 |264.61m2</t>
  </si>
  <si>
    <t>13TAIGA 2</t>
  </si>
  <si>
    <t>PBC | T2 | 13 |225m2</t>
  </si>
  <si>
    <t>14TAIGA 2</t>
  </si>
  <si>
    <t>PBC | T2 | 14 |250m2</t>
  </si>
  <si>
    <t>15TAIGA 2</t>
  </si>
  <si>
    <t>PBC | T2 | 15 |250m2</t>
  </si>
  <si>
    <t>16TAIGA 2</t>
  </si>
  <si>
    <t>PBC | T2 | 16 |250m2</t>
  </si>
  <si>
    <t>17TAIGA 2</t>
  </si>
  <si>
    <t>PBC | T2 | 17 |250m2</t>
  </si>
  <si>
    <t>18TAIGA 2</t>
  </si>
  <si>
    <t>PBC | T2 | 18 |250m2</t>
  </si>
  <si>
    <t>19TAIGA 2</t>
  </si>
  <si>
    <t>PBC | T2 | 19 |250m2</t>
  </si>
  <si>
    <t>20TAIGA 2</t>
  </si>
  <si>
    <t>PBC | T2 | 20 |200m2</t>
  </si>
  <si>
    <t>21TAIGA 2</t>
  </si>
  <si>
    <t>PBC | T2 | 21 |200m2</t>
  </si>
  <si>
    <t>22TAIGA 2</t>
  </si>
  <si>
    <t>PBC | T2 | 22 |200m2</t>
  </si>
  <si>
    <t>23TAIGA 2</t>
  </si>
  <si>
    <t>PBC | T2 | 23 |200m2</t>
  </si>
  <si>
    <t>24TAIGA 2</t>
  </si>
  <si>
    <t>PBC | T2 | 24 |200m2</t>
  </si>
  <si>
    <t>25TAIGA 2</t>
  </si>
  <si>
    <t>PBC | T2 | 25 |200m2</t>
  </si>
  <si>
    <t>26TAIGA 2</t>
  </si>
  <si>
    <t>PBC | T2 | 26 |200m2</t>
  </si>
  <si>
    <t>27TAIGA 2</t>
  </si>
  <si>
    <t>PBC | T2 | 27 |200m2</t>
  </si>
  <si>
    <t>28TAIGA 2</t>
  </si>
  <si>
    <t>PBC | T2 | 28 |200m2</t>
  </si>
  <si>
    <t>29TAIGA 2</t>
  </si>
  <si>
    <t>PBC | T2 | 29 |200m2</t>
  </si>
  <si>
    <t>30TAIGA 2</t>
  </si>
  <si>
    <t>PBC | T2 | 30 |200m2</t>
  </si>
  <si>
    <t>31TAIGA 2</t>
  </si>
  <si>
    <t>PBC | T2 | 31 |200m2</t>
  </si>
  <si>
    <t>32TAIGA 2</t>
  </si>
  <si>
    <t>PBC | T2 | 32 |200m2</t>
  </si>
  <si>
    <t>33TAIGA 2</t>
  </si>
  <si>
    <t>PBC | T2 | 33 |200m2</t>
  </si>
  <si>
    <t>34TAIGA 2</t>
  </si>
  <si>
    <t>PBC | T2 | 34 |200m2</t>
  </si>
  <si>
    <t>35TAIGA 2</t>
  </si>
  <si>
    <t>PBC | T2 | 35 |200m2</t>
  </si>
  <si>
    <t>36TAIGA 2</t>
  </si>
  <si>
    <t>PBC | T2 | 36 |200m2</t>
  </si>
  <si>
    <t>37TAIGA 2</t>
  </si>
  <si>
    <t>PBC | T2 | 37 |200m2</t>
  </si>
  <si>
    <t>38TAIGA 2</t>
  </si>
  <si>
    <t>PBC | T2 | 38 |200m2</t>
  </si>
  <si>
    <t>39TAIGA 2</t>
  </si>
  <si>
    <t>PBC | T2 | 39 |200m2</t>
  </si>
  <si>
    <t>40TAIGA 2</t>
  </si>
  <si>
    <t>PBC | T2 | 40 |200m2</t>
  </si>
  <si>
    <t>41TAIGA 2</t>
  </si>
  <si>
    <t>PBC | T2 | 41 |200m2</t>
  </si>
  <si>
    <t>42TAIGA 2</t>
  </si>
  <si>
    <t>PBC | T2 | 42 |200m2</t>
  </si>
  <si>
    <t>43TAIGA 2</t>
  </si>
  <si>
    <t>PBC | T2 | 43 |200m2</t>
  </si>
  <si>
    <t>44TAIGA 2</t>
  </si>
  <si>
    <t>PBC | T2 | 44 |200m2</t>
  </si>
  <si>
    <t>45TAIGA 2</t>
  </si>
  <si>
    <t>PBC | T2 | 45 |200m2</t>
  </si>
  <si>
    <t>46TAIGA 2</t>
  </si>
  <si>
    <t>PBC | T2 | 46 |257.08m2</t>
  </si>
  <si>
    <t>47TAIGA 2</t>
  </si>
  <si>
    <t>PBC | T2 | 47 |180m2</t>
  </si>
  <si>
    <t>48TAIGA 2</t>
  </si>
  <si>
    <t>PBC | T2 | 48 |180m2</t>
  </si>
  <si>
    <t>49TAIGA 2</t>
  </si>
  <si>
    <t>PBC | T2 | 49 |225m2</t>
  </si>
  <si>
    <t>50TAIGA 2</t>
  </si>
  <si>
    <t>PBC | T2 | 50 |225m2</t>
  </si>
  <si>
    <t>51TAIGA 2</t>
  </si>
  <si>
    <t>PBC | T2 | 51 |180m2</t>
  </si>
  <si>
    <t>52TAIGA 2</t>
  </si>
  <si>
    <t>PBC | T2 | 52 |180m2</t>
  </si>
  <si>
    <t>53TAIGA 2</t>
  </si>
  <si>
    <t>PBC | T2 | 53 |180m2</t>
  </si>
  <si>
    <t>54TAIGA 2</t>
  </si>
  <si>
    <t>PBC | T2 | 54 |180m2</t>
  </si>
  <si>
    <t>55TAIGA 2</t>
  </si>
  <si>
    <t>PBC | T2 | 55 |180m2</t>
  </si>
  <si>
    <t>56TAIGA 2</t>
  </si>
  <si>
    <t>PBC | T2 | 56 |239.71m2</t>
  </si>
  <si>
    <t>57TAIGA 2</t>
  </si>
  <si>
    <t>PBC | T2 | 57 |280.13m2</t>
  </si>
  <si>
    <t>58TAIGA 2</t>
  </si>
  <si>
    <t>PBC | T2 | 58 |257.82m2</t>
  </si>
  <si>
    <t>59TAIGA 2</t>
  </si>
  <si>
    <t>PBC | T2 | 59 |225m2</t>
  </si>
  <si>
    <t>60TAIGA 2</t>
  </si>
  <si>
    <t>PBC | T2 | 60 |250m2</t>
  </si>
  <si>
    <t>61TAIGA 2</t>
  </si>
  <si>
    <t>PBC | T2 | 61 |250m2</t>
  </si>
  <si>
    <t>62TAIGA 2</t>
  </si>
  <si>
    <t>PBC | T2 | 62 |250m2</t>
  </si>
  <si>
    <t>63TAIGA 2</t>
  </si>
  <si>
    <t>PBC | T2 | 63 |250m2</t>
  </si>
  <si>
    <t>64TAIGA 2</t>
  </si>
  <si>
    <t>PBC | T2 | 64 |180m2</t>
  </si>
  <si>
    <t>65TAIGA 2</t>
  </si>
  <si>
    <t>PBC | T2 | 65 |180m2</t>
  </si>
  <si>
    <t>66TAIGA 2</t>
  </si>
  <si>
    <t>PBC | T2 | 66 |180m2</t>
  </si>
  <si>
    <t>67TAIGA 2</t>
  </si>
  <si>
    <t>PBC | T2 | 67 |180m2</t>
  </si>
  <si>
    <t>68TAIGA 2</t>
  </si>
  <si>
    <t>PBC | T2 | 68 |180m2</t>
  </si>
  <si>
    <t>69TAIGA 2</t>
  </si>
  <si>
    <t>PBC | T2 | 69 |231.97m2</t>
  </si>
  <si>
    <t>70TAIGA 2</t>
  </si>
  <si>
    <t>PBC | T2 | 70 |264.56m2</t>
  </si>
  <si>
    <t>71TAIGA 2</t>
  </si>
  <si>
    <t>PBC | T2 | 71 |265.62m2</t>
  </si>
  <si>
    <t>72TAIGA 2</t>
  </si>
  <si>
    <t>PBC | T2 | 72 |225m2</t>
  </si>
  <si>
    <t>73TAIGA 2</t>
  </si>
  <si>
    <t>PBC | T2 | 73 |225m2</t>
  </si>
  <si>
    <t>74TAIGA 2</t>
  </si>
  <si>
    <t>PBC | T2 | 74 |250m2</t>
  </si>
  <si>
    <t>75TAIGA 2</t>
  </si>
  <si>
    <t>PBC | T2 | 75 |250m2</t>
  </si>
  <si>
    <t>76TAIGA 2</t>
  </si>
  <si>
    <t>PBC | T2 | 76 |250m2</t>
  </si>
  <si>
    <t>1TAIGA 3</t>
  </si>
  <si>
    <t>PBC | T3 | 1 |408m2</t>
  </si>
  <si>
    <t>2TAIGA 3</t>
  </si>
  <si>
    <t>PBC | T3 | 2 |408m2</t>
  </si>
  <si>
    <t>3TAIGA 3</t>
  </si>
  <si>
    <t>PBC | T3 | 3 |408m2</t>
  </si>
  <si>
    <t>4TAIGA 3</t>
  </si>
  <si>
    <t>PBC | T3 | 4 |408m2</t>
  </si>
  <si>
    <t>5TAIGA 3</t>
  </si>
  <si>
    <t>PBC | T3 | 5 |408m2</t>
  </si>
  <si>
    <t>6TAIGA 3</t>
  </si>
  <si>
    <t>PBC | T3 | 6 |408m2</t>
  </si>
  <si>
    <t>7TAIGA 3</t>
  </si>
  <si>
    <t>PBC | T3 | 7 |508.18m2</t>
  </si>
  <si>
    <t>8TAIGA 3</t>
  </si>
  <si>
    <t>PBC | T3 | 8 |508.18m2</t>
  </si>
  <si>
    <t>9TAIGA 3</t>
  </si>
  <si>
    <t>PBC | T3 | 9 |627.24m2</t>
  </si>
  <si>
    <t>10TAIGA 3</t>
  </si>
  <si>
    <t>PBC | T3 | 10 |546.17m2</t>
  </si>
  <si>
    <t>11TAIGA 3</t>
  </si>
  <si>
    <t>PBC | T3 | 11 |420m2</t>
  </si>
  <si>
    <t>12TAIGA 3</t>
  </si>
  <si>
    <t>PBC | T3 | 12 |420m2</t>
  </si>
  <si>
    <t>13TAIGA 3</t>
  </si>
  <si>
    <t>PBC | T3 | 13 |420m2</t>
  </si>
  <si>
    <t>14TAIGA 3</t>
  </si>
  <si>
    <t>PBC | T3 | 14 |420m2</t>
  </si>
  <si>
    <t>15TAIGA 3</t>
  </si>
  <si>
    <t>PBC | T3 | 15 |455m2</t>
  </si>
  <si>
    <t>16TAIGA 3</t>
  </si>
  <si>
    <t>PBC | T3 | 16 |488.08m2</t>
  </si>
  <si>
    <t>17TAIGA 3</t>
  </si>
  <si>
    <t>PBC | T3 | 17 |420m2</t>
  </si>
  <si>
    <t>18TAIGA 3</t>
  </si>
  <si>
    <t>PBC | T3 | 18 |420m2</t>
  </si>
  <si>
    <t>19TAIGA 3</t>
  </si>
  <si>
    <t>PBC | T3 | 19 |420m2</t>
  </si>
  <si>
    <t>20TAIGA 3</t>
  </si>
  <si>
    <t>PBC | T3 | 20 |420m2</t>
  </si>
  <si>
    <t>21TAIGA 3</t>
  </si>
  <si>
    <t>PBC | T3 | 21 |420m2</t>
  </si>
  <si>
    <t>22TAIGA 3</t>
  </si>
  <si>
    <t>PBC | T3 | 22 |435.64m2</t>
  </si>
  <si>
    <t>23TAIGA 3</t>
  </si>
  <si>
    <t>PBC | T3 | 23 |592.65m2</t>
  </si>
  <si>
    <t>24TAIGA 3</t>
  </si>
  <si>
    <t>PBC | T3 | 24 |504m2</t>
  </si>
  <si>
    <t>25TAIGA 3</t>
  </si>
  <si>
    <t>PBC | T3 | 25 |504m2</t>
  </si>
  <si>
    <t>26TAIGA 3</t>
  </si>
  <si>
    <t>PBC | T3 | 26 |504m2</t>
  </si>
  <si>
    <t>27TAIGA 3</t>
  </si>
  <si>
    <t>PBC | T3 | 27 |633.36m2</t>
  </si>
  <si>
    <t>28TAIGA 3</t>
  </si>
  <si>
    <t>PBC | T3 | 28 |420m2</t>
  </si>
  <si>
    <t>29TAIGA 3</t>
  </si>
  <si>
    <t>PBC | T3 | 29 |420m2</t>
  </si>
  <si>
    <t>30TAIGA 3</t>
  </si>
  <si>
    <t>PBC | T3 | 30 |414.06m2</t>
  </si>
  <si>
    <t>31TAIGA 3</t>
  </si>
  <si>
    <t>PBC | T3 | 31 |473.58m2</t>
  </si>
  <si>
    <t>32TAIGA 3</t>
  </si>
  <si>
    <t>PBC | T3 | 32 |476m2</t>
  </si>
  <si>
    <t>33TAIGA 3</t>
  </si>
  <si>
    <t>PBC | T3 | 33 |476m2</t>
  </si>
  <si>
    <t>34TAIGA 3</t>
  </si>
  <si>
    <t>PBC | T3 | 34 |567.39m2</t>
  </si>
  <si>
    <t>1PARAMO 1</t>
  </si>
  <si>
    <t>PBC | P1 | 1 |185.58m2</t>
  </si>
  <si>
    <t>2PARAMO 1</t>
  </si>
  <si>
    <t>PBC | P1 | 2 |140m2</t>
  </si>
  <si>
    <t>3PARAMO 1</t>
  </si>
  <si>
    <t>PBC | P1 | 3 |140m2</t>
  </si>
  <si>
    <t>4PARAMO 1</t>
  </si>
  <si>
    <t>PBC | P1 | 4 |140m2</t>
  </si>
  <si>
    <t>5PARAMO 1</t>
  </si>
  <si>
    <t>PBC | P1 | 5 |140m2</t>
  </si>
  <si>
    <t>6PARAMO 1</t>
  </si>
  <si>
    <t>PBC | P1 | 6 |140m2</t>
  </si>
  <si>
    <t>7PARAMO 1</t>
  </si>
  <si>
    <t>PBC | P1 | 7 |131.11m2</t>
  </si>
  <si>
    <t>8PARAMO 1</t>
  </si>
  <si>
    <t>PBC | P1 | 8 |128m2</t>
  </si>
  <si>
    <t>9PARAMO 1</t>
  </si>
  <si>
    <t>PBC | P1 | 9 |128m2</t>
  </si>
  <si>
    <t>10PARAMO 1</t>
  </si>
  <si>
    <t>PBC | P1 | 10 |128m2</t>
  </si>
  <si>
    <t>11PARAMO 1</t>
  </si>
  <si>
    <t>PBC | P1 | 11 |128m2</t>
  </si>
  <si>
    <t>12PARAMO 1</t>
  </si>
  <si>
    <t>PBC | P1 | 12 |128m2</t>
  </si>
  <si>
    <t>13PARAMO 1</t>
  </si>
  <si>
    <t>PBC | P1 | 13 |128m2</t>
  </si>
  <si>
    <t>14PARAMO 1</t>
  </si>
  <si>
    <t>PBC | P1 | 14 |128m2</t>
  </si>
  <si>
    <t>15PARAMO 1</t>
  </si>
  <si>
    <t>PBC | P1 | 15 |128m2</t>
  </si>
  <si>
    <t>16PARAMO 1</t>
  </si>
  <si>
    <t>PBC | P1 | 16 |128m2</t>
  </si>
  <si>
    <t>17PARAMO 1</t>
  </si>
  <si>
    <t>PBC | P1 | 17 |128m2</t>
  </si>
  <si>
    <t>18PARAMO 1</t>
  </si>
  <si>
    <t>PBC | P1 | 18 |128m2</t>
  </si>
  <si>
    <t>19PARAMO 1</t>
  </si>
  <si>
    <t>PBC | P1 | 19 |128m2</t>
  </si>
  <si>
    <t>20PARAMO 1</t>
  </si>
  <si>
    <t>PBC | P1 | 20 |128m2</t>
  </si>
  <si>
    <t>21PARAMO 1</t>
  </si>
  <si>
    <t>PBC | P1 | 21 |128m2</t>
  </si>
  <si>
    <t>22PARAMO 1</t>
  </si>
  <si>
    <t>PBC | P1 | 22 |128m2</t>
  </si>
  <si>
    <t>23PARAMO 1</t>
  </si>
  <si>
    <t>PBC | P1 | 23 |128m2</t>
  </si>
  <si>
    <t>24PARAMO 1</t>
  </si>
  <si>
    <t>PBC | P1 | 24 |174.14m2</t>
  </si>
  <si>
    <t>25PARAMO 1</t>
  </si>
  <si>
    <t>PBC | P1 | 25 |179.81m2</t>
  </si>
  <si>
    <t>26PARAMO 1</t>
  </si>
  <si>
    <t>PBC | P1 | 26 |160m2</t>
  </si>
  <si>
    <t>27PARAMO 1</t>
  </si>
  <si>
    <t>PBC | P1 | 27 |160m2</t>
  </si>
  <si>
    <t>28PARAMO 1</t>
  </si>
  <si>
    <t>PBC | P1 | 28 |160m2</t>
  </si>
  <si>
    <t>29PARAMO 1</t>
  </si>
  <si>
    <t>PBC | P1 | 29 |160m2</t>
  </si>
  <si>
    <t>30PARAMO 1</t>
  </si>
  <si>
    <t>PBC | P1 | 30 |160m2</t>
  </si>
  <si>
    <t>31PARAMO 1</t>
  </si>
  <si>
    <t>PBC | P1 | 31 |160m2</t>
  </si>
  <si>
    <t>32PARAMO 1</t>
  </si>
  <si>
    <t>PBC | P1 | 32 |160m2</t>
  </si>
  <si>
    <t>33PARAMO 1</t>
  </si>
  <si>
    <t>PBC | P1 | 33 |160m2</t>
  </si>
  <si>
    <t>34PARAMO 1</t>
  </si>
  <si>
    <t>PBC | P1 | 34 |160m2</t>
  </si>
  <si>
    <t>35PARAMO 1</t>
  </si>
  <si>
    <t>PBC | P1 | 35 |160m2</t>
  </si>
  <si>
    <t>36PARAMO 1</t>
  </si>
  <si>
    <t>PBC | P1 | 36 |160m2</t>
  </si>
  <si>
    <t>37PARAMO 1</t>
  </si>
  <si>
    <t>PBC | P1 | 37 |160m2</t>
  </si>
  <si>
    <t>38PARAMO 1</t>
  </si>
  <si>
    <t>PBC | P1 | 38 |160m2</t>
  </si>
  <si>
    <t>39PARAMO 1</t>
  </si>
  <si>
    <t>PBC | P1 | 39 |160m2</t>
  </si>
  <si>
    <t>40PARAMO 1</t>
  </si>
  <si>
    <t>PBC | P1 | 40 |160m2</t>
  </si>
  <si>
    <t>41PARAMO 1</t>
  </si>
  <si>
    <t>PBC | P1 | 41 |160m2</t>
  </si>
  <si>
    <t>42PARAMO 1</t>
  </si>
  <si>
    <t>PBC | P1 | 42 |160m2</t>
  </si>
  <si>
    <t>43PARAMO 1</t>
  </si>
  <si>
    <t>PBC | P1 | 43 |160m2</t>
  </si>
  <si>
    <t>44PARAMO 1</t>
  </si>
  <si>
    <t>PBC | P1 | 44 |160m2</t>
  </si>
  <si>
    <t>45PARAMO 1</t>
  </si>
  <si>
    <t>PBC | P1 | 45 |160m2</t>
  </si>
  <si>
    <t>46PARAMO 1</t>
  </si>
  <si>
    <t>PBC | P1 | 46 |160m2</t>
  </si>
  <si>
    <t>47PARAMO 1</t>
  </si>
  <si>
    <t>PBC | P1 | 47 |160m2</t>
  </si>
  <si>
    <t>48PARAMO 1</t>
  </si>
  <si>
    <t>PBC | P1 | 48 |160m2</t>
  </si>
  <si>
    <t>49PARAMO 1</t>
  </si>
  <si>
    <t>PBC | P1 | 49 |160m2</t>
  </si>
  <si>
    <t>50PARAMO 1</t>
  </si>
  <si>
    <t>PBC | P1 | 50 |160m2</t>
  </si>
  <si>
    <t>51PARAMO 1</t>
  </si>
  <si>
    <t>PBC | P1 | 51 |204.84m2</t>
  </si>
  <si>
    <t>52PARAMO 1</t>
  </si>
  <si>
    <t>PBC | P1 | 52 |192.82m2</t>
  </si>
  <si>
    <t>53PARAMO 1</t>
  </si>
  <si>
    <t>PBC | P1 | 53 |160m2</t>
  </si>
  <si>
    <t>54PARAMO 1</t>
  </si>
  <si>
    <t>PBC | P1 | 54 |160m2</t>
  </si>
  <si>
    <t>55PARAMO 1</t>
  </si>
  <si>
    <t>PBC | P1 | 55 |160m2</t>
  </si>
  <si>
    <t>56PARAMO 1</t>
  </si>
  <si>
    <t>PBC | P1 | 56 |160m2</t>
  </si>
  <si>
    <t>57PARAMO 1</t>
  </si>
  <si>
    <t>PBC | P1 | 57 |160m2</t>
  </si>
  <si>
    <t>58PARAMO 1</t>
  </si>
  <si>
    <t>PBC | P1 | 58 |160m2</t>
  </si>
  <si>
    <t>59PARAMO 1</t>
  </si>
  <si>
    <t>PBC | P1 | 59 |164.84m2</t>
  </si>
  <si>
    <t>60PARAMO 1</t>
  </si>
  <si>
    <t>PBC | P1 | 60 |150.52m2</t>
  </si>
  <si>
    <t>61PARAMO 1</t>
  </si>
  <si>
    <t>PBC | P1 | 61 |140m2</t>
  </si>
  <si>
    <t>62PARAMO 1</t>
  </si>
  <si>
    <t>PBC | P1 | 62 |140m2</t>
  </si>
  <si>
    <t>63PARAMO 1</t>
  </si>
  <si>
    <t>PBC | P1 | 63 |140m2</t>
  </si>
  <si>
    <t>64PARAMO 1</t>
  </si>
  <si>
    <t>PBC | P1 | 64 |140m2</t>
  </si>
  <si>
    <t>65PARAMO 1</t>
  </si>
  <si>
    <t>PBC | P1 | 65 |150.5m2</t>
  </si>
  <si>
    <t>66PARAMO 1</t>
  </si>
  <si>
    <t>PBC | P1 | 66 |157.5m2</t>
  </si>
  <si>
    <t>67PARAMO 1</t>
  </si>
  <si>
    <t>PBC | P1 | 67 |157.5m2</t>
  </si>
  <si>
    <t>68PARAMO 1</t>
  </si>
  <si>
    <t>PBC | P1 | 68 |156.89m2</t>
  </si>
  <si>
    <t>69PARAMO 1</t>
  </si>
  <si>
    <t>PBC | P1 | 69 |142.38m2</t>
  </si>
  <si>
    <t>70PARAMO 1</t>
  </si>
  <si>
    <t>PBC | P1 | 70 |144m2</t>
  </si>
  <si>
    <t>71PARAMO 1</t>
  </si>
  <si>
    <t>PBC | P1 | 71 |144m2</t>
  </si>
  <si>
    <t>72PARAMO 1</t>
  </si>
  <si>
    <t>PBC | P1 | 72 |137.6m2</t>
  </si>
  <si>
    <t>73PARAMO 1</t>
  </si>
  <si>
    <t>PBC | P1 | 73 |128m2</t>
  </si>
  <si>
    <t>74PARAMO 1</t>
  </si>
  <si>
    <t>PBC | P1 | 74 |128m2</t>
  </si>
  <si>
    <t>75PARAMO 1</t>
  </si>
  <si>
    <t>PBC | P1 | 75 |128m2</t>
  </si>
  <si>
    <t>76PARAMO 1</t>
  </si>
  <si>
    <t>PBC | P1 | 76 |128m2</t>
  </si>
  <si>
    <t>77PARAMO 1</t>
  </si>
  <si>
    <t>PBC | P1 | 77 |131.11m2</t>
  </si>
  <si>
    <t>78PARAMO 1</t>
  </si>
  <si>
    <t>PBC | P1 | 78 |143.7m2</t>
  </si>
  <si>
    <t>79PARAMO 1</t>
  </si>
  <si>
    <t>PBC | P1 | 79 |157.5m2</t>
  </si>
  <si>
    <t>80PARAMO 1</t>
  </si>
  <si>
    <t>PBC | P1 | 80 |157.5m2</t>
  </si>
  <si>
    <t>81PARAMO 1</t>
  </si>
  <si>
    <t>PBC | P1 | 81 |157.5m2</t>
  </si>
  <si>
    <t>82PARAMO 1</t>
  </si>
  <si>
    <t>PBC | P1 | 82 |175m2</t>
  </si>
  <si>
    <t>83PARAMO 1</t>
  </si>
  <si>
    <t>PBC | P1 | 83 |157.41m2</t>
  </si>
  <si>
    <t>84PARAMO 1</t>
  </si>
  <si>
    <t>PBC | P1 | 84 |143.84m2</t>
  </si>
  <si>
    <t>85PARAMO 1</t>
  </si>
  <si>
    <t>PBC | P1 | 85 |128m2</t>
  </si>
  <si>
    <t>86PARAMO 1</t>
  </si>
  <si>
    <t>PBC | P1 | 86 |128m2</t>
  </si>
  <si>
    <t>87PARAMO 1</t>
  </si>
  <si>
    <t>PBC | P1 | 87 |128m2</t>
  </si>
  <si>
    <t>88PARAMO 1</t>
  </si>
  <si>
    <t>PBC | P1 | 88 |128m2</t>
  </si>
  <si>
    <t>89PARAMO 1</t>
  </si>
  <si>
    <t>PBC | P1 | 89 |128m2</t>
  </si>
  <si>
    <t>90PARAMO 1</t>
  </si>
  <si>
    <t>PBC | P1 | 90 |128m2</t>
  </si>
  <si>
    <t>91PARAMO 1</t>
  </si>
  <si>
    <t>PBC | P1 | 91 |128m2</t>
  </si>
  <si>
    <t>92PARAMO 1</t>
  </si>
  <si>
    <t>PBC | P1 | 92 |128m2</t>
  </si>
  <si>
    <t>93PARAMO 1</t>
  </si>
  <si>
    <t>PBC | P1 | 93 |128m2</t>
  </si>
  <si>
    <t>94PARAMO 1</t>
  </si>
  <si>
    <t>PBC | P1 | 94 |128m2</t>
  </si>
  <si>
    <t>95PARAMO 1</t>
  </si>
  <si>
    <t>PBC | P1 | 95 |128m2</t>
  </si>
  <si>
    <t>96PARAMO 1</t>
  </si>
  <si>
    <t>PBC | P1 | 96 |140m2</t>
  </si>
  <si>
    <t>97PARAMO 1</t>
  </si>
  <si>
    <t>PBC | P1 | 97 |140m2</t>
  </si>
  <si>
    <t>98PARAMO 1</t>
  </si>
  <si>
    <t>PBC | P1 | 98 |140m2</t>
  </si>
  <si>
    <t>99PARAMO 1</t>
  </si>
  <si>
    <t>PBC | P1 | 99 |140m2</t>
  </si>
  <si>
    <t>100PARAMO 1</t>
  </si>
  <si>
    <t>PBC | P1 | 100 |140m2</t>
  </si>
  <si>
    <t>101PARAMO 1</t>
  </si>
  <si>
    <t>PBC | P1 | 101 |140m2</t>
  </si>
  <si>
    <t>102PARAMO 1</t>
  </si>
  <si>
    <t>PBC | P1 | 102 |140m2</t>
  </si>
  <si>
    <t>103PARAMO 1</t>
  </si>
  <si>
    <t>PBC | P1 | 103 |140m2</t>
  </si>
  <si>
    <t>104PARAMO 1</t>
  </si>
  <si>
    <t>PBC | P1 | 104 |140m2</t>
  </si>
  <si>
    <t>105PARAMO 1</t>
  </si>
  <si>
    <t>PBC | P1 | 105 |140m2</t>
  </si>
  <si>
    <t>106PARAMO 1</t>
  </si>
  <si>
    <t>PBC | P1 | 106 |140m2</t>
  </si>
  <si>
    <t>107PARAMO 1</t>
  </si>
  <si>
    <t>PBC | P1 | 107 |157.33m2</t>
  </si>
  <si>
    <t>1PARAMO 2</t>
  </si>
  <si>
    <t>PBC | P2 | 1 |128m2</t>
  </si>
  <si>
    <t>2PARAMO 2</t>
  </si>
  <si>
    <t>PBC | P2 | 2 |128m2</t>
  </si>
  <si>
    <t>3PARAMO 2</t>
  </si>
  <si>
    <t>PBC | P2 | 3 |128m2</t>
  </si>
  <si>
    <t>4PARAMO 2</t>
  </si>
  <si>
    <t>PBC | P2 | 4 |128m2</t>
  </si>
  <si>
    <t>5PARAMO 2</t>
  </si>
  <si>
    <t>PBC | P2 | 5 |128m2</t>
  </si>
  <si>
    <t>6PARAMO 2</t>
  </si>
  <si>
    <t>PBC | P2 | 6 |128m2</t>
  </si>
  <si>
    <t>7PARAMO 2</t>
  </si>
  <si>
    <t>PBC | P2 | 7 |128m2</t>
  </si>
  <si>
    <t>8PARAMO 2</t>
  </si>
  <si>
    <t>PBC | P2 | 8 |128m2</t>
  </si>
  <si>
    <t>9PARAMO 2</t>
  </si>
  <si>
    <t>PBC | P2 | 9 |128m2</t>
  </si>
  <si>
    <t>10PARAMO 2</t>
  </si>
  <si>
    <t>PBC | P2 | 10 |128m2</t>
  </si>
  <si>
    <t>11PARAMO 2</t>
  </si>
  <si>
    <t>PBC | P2 | 11 |128m2</t>
  </si>
  <si>
    <t>12PARAMO 2</t>
  </si>
  <si>
    <t>PBC | P2 | 12 |128m2</t>
  </si>
  <si>
    <t>13PARAMO 2</t>
  </si>
  <si>
    <t>PBC | P2 | 13 |128m2</t>
  </si>
  <si>
    <t>14PARAMO 2</t>
  </si>
  <si>
    <t>PBC | P2 | 14 |128m2</t>
  </si>
  <si>
    <t>15PARAMO 2</t>
  </si>
  <si>
    <t>PBC | P2 | 15 |128m2</t>
  </si>
  <si>
    <t>16PARAMO 2</t>
  </si>
  <si>
    <t>PBC | P2 | 16 |186.2m2</t>
  </si>
  <si>
    <t>17PARAMO 2</t>
  </si>
  <si>
    <t>PBC | P2 | 17 |128m2</t>
  </si>
  <si>
    <t>18PARAMO 2</t>
  </si>
  <si>
    <t>PBC | P2 | 18 |128m2</t>
  </si>
  <si>
    <t>19PARAMO 2</t>
  </si>
  <si>
    <t>PBC | P2 | 19 |128m2</t>
  </si>
  <si>
    <t>20PARAMO 2</t>
  </si>
  <si>
    <t>PBC | P2 | 20 |128m2</t>
  </si>
  <si>
    <t>21PARAMO 2</t>
  </si>
  <si>
    <t>PBC | P2 | 21 |128m2</t>
  </si>
  <si>
    <t>22PARAMO 2</t>
  </si>
  <si>
    <t>PBC | P2 | 22 |128m2</t>
  </si>
  <si>
    <t>23PARAMO 2</t>
  </si>
  <si>
    <t>PBC | P2 | 23 |128m2</t>
  </si>
  <si>
    <t>24PARAMO 2</t>
  </si>
  <si>
    <t>PBC | P2 | 24 |128m2</t>
  </si>
  <si>
    <t>25PARAMO 2</t>
  </si>
  <si>
    <t>PBC | P2 | 25 |128m2</t>
  </si>
  <si>
    <t>26PARAMO 2</t>
  </si>
  <si>
    <t>PBC | P2 | 26 |128m2</t>
  </si>
  <si>
    <t>27PARAMO 2</t>
  </si>
  <si>
    <t>PBC | P2 | 27 |170.22m2</t>
  </si>
  <si>
    <t>28PARAMO 2</t>
  </si>
  <si>
    <t>PBC | P2 | 28 |160m2</t>
  </si>
  <si>
    <t>29PARAMO 2</t>
  </si>
  <si>
    <t>PBC | P2 | 29 |160m2</t>
  </si>
  <si>
    <t>30PARAMO 2</t>
  </si>
  <si>
    <t>PBC | P2 | 30 |160m2</t>
  </si>
  <si>
    <t>31PARAMO 2</t>
  </si>
  <si>
    <t>PBC | P2 | 31 |160m2</t>
  </si>
  <si>
    <t>32PARAMO 2</t>
  </si>
  <si>
    <t>PBC | P2 | 32 |160m2</t>
  </si>
  <si>
    <t>33PARAMO 2</t>
  </si>
  <si>
    <t>PBC | P2 | 33 |160m2</t>
  </si>
  <si>
    <t>34PARAMO 2</t>
  </si>
  <si>
    <t>PBC | P2 | 34 |160m2</t>
  </si>
  <si>
    <t>35PARAMO 2</t>
  </si>
  <si>
    <t>PBC | P2 | 35 |160m2</t>
  </si>
  <si>
    <t>36PARAMO 2</t>
  </si>
  <si>
    <t>PBC | P2 | 36 |160m2</t>
  </si>
  <si>
    <t>37PARAMO 2</t>
  </si>
  <si>
    <t>PBC | P2 | 37 |160m2</t>
  </si>
  <si>
    <t>38PARAMO 2</t>
  </si>
  <si>
    <t>PBC | P2 | 38 |177.54m2</t>
  </si>
  <si>
    <t>39PARAMO 2</t>
  </si>
  <si>
    <t>PBC | P2 | 39 |143.49m2</t>
  </si>
  <si>
    <t>40PARAMO 2</t>
  </si>
  <si>
    <t>PBC | P2 | 40 |144m2</t>
  </si>
  <si>
    <t>41PARAMO 2</t>
  </si>
  <si>
    <t>PBC | P2 | 41 |138.62m2</t>
  </si>
  <si>
    <t>42PARAMO 2</t>
  </si>
  <si>
    <t>PBC | P2 | 42 |128m2</t>
  </si>
  <si>
    <t>43PARAMO 2</t>
  </si>
  <si>
    <t>PBC | P2 | 43 |128m2</t>
  </si>
  <si>
    <t>44PARAMO 2</t>
  </si>
  <si>
    <t>PBC | P2 | 44 |128m2</t>
  </si>
  <si>
    <t>45PARAMO 2</t>
  </si>
  <si>
    <t>PBC | P2 | 45 |128m2</t>
  </si>
  <si>
    <t>46PARAMO 2</t>
  </si>
  <si>
    <t>PBC | P2 | 46 |128m2</t>
  </si>
  <si>
    <t>47PARAMO 2</t>
  </si>
  <si>
    <t>PBC | P2 | 47 |128m2</t>
  </si>
  <si>
    <t>48PARAMO 2</t>
  </si>
  <si>
    <t>PBC | P2 | 48 |128m2</t>
  </si>
  <si>
    <t>49PARAMO 2</t>
  </si>
  <si>
    <t>PBC | P2 | 49 |128m2</t>
  </si>
  <si>
    <t>50PARAMO 2</t>
  </si>
  <si>
    <t>PBC | P2 | 50 |128m2</t>
  </si>
  <si>
    <t>51PARAMO 2</t>
  </si>
  <si>
    <t>PBC | P2 | 51 |152.31m2</t>
  </si>
  <si>
    <t>52PARAMO 2</t>
  </si>
  <si>
    <t>PBC | P2 | 52 |144m2</t>
  </si>
  <si>
    <t>53PARAMO 2</t>
  </si>
  <si>
    <t>PBC | P2 | 53 |144.51m2</t>
  </si>
  <si>
    <t>54PARAMO 2</t>
  </si>
  <si>
    <t>PBC | P2 | 54 |128.51m2</t>
  </si>
  <si>
    <t>55PARAMO 2</t>
  </si>
  <si>
    <t>PBC | P2 | 55 |128m2</t>
  </si>
  <si>
    <t>56PARAMO 2</t>
  </si>
  <si>
    <t>PBC | P2 | 56 |128m2</t>
  </si>
  <si>
    <t>57PARAMO 2</t>
  </si>
  <si>
    <t>PBC | P2 | 57 |128m2</t>
  </si>
  <si>
    <t>58PARAMO 2</t>
  </si>
  <si>
    <t>PBC | P2 | 58 |128m2</t>
  </si>
  <si>
    <t>59PARAMO 2</t>
  </si>
  <si>
    <t>PBC | P2 | 59 |129.52m2</t>
  </si>
  <si>
    <t>60PARAMO 2</t>
  </si>
  <si>
    <t>PBC | P2 | 60 |128m2</t>
  </si>
  <si>
    <t>61PARAMO 2</t>
  </si>
  <si>
    <t>PBC | P2 | 61 |128m2</t>
  </si>
  <si>
    <t>62PARAMO 2</t>
  </si>
  <si>
    <t>PBC | P2 | 62 |136.13m2</t>
  </si>
  <si>
    <t>63PARAMO 2</t>
  </si>
  <si>
    <t>PBC | P2 | 63 |123.68m2</t>
  </si>
  <si>
    <t>64PARAMO 2</t>
  </si>
  <si>
    <t>PBC | P2 | 64 |128m2</t>
  </si>
  <si>
    <t>65PARAMO 2</t>
  </si>
  <si>
    <t>PBC | P2 | 65 |128m2</t>
  </si>
  <si>
    <t>66PARAMO 2</t>
  </si>
  <si>
    <t>PBC | P2 | 66 |128m2</t>
  </si>
  <si>
    <t>67PARAMO 2</t>
  </si>
  <si>
    <t>PBC | P2 | 67 |128m2</t>
  </si>
  <si>
    <t>68PARAMO 2</t>
  </si>
  <si>
    <t>PBC | P2 | 68 |128m2</t>
  </si>
  <si>
    <t>69PARAMO 2</t>
  </si>
  <si>
    <t>PBC | P2 | 69 |128m2</t>
  </si>
  <si>
    <t>70PARAMO 2</t>
  </si>
  <si>
    <t>PBC | P2 | 70 |128m2</t>
  </si>
  <si>
    <t>71PARAMO 2</t>
  </si>
  <si>
    <t>PBC | P2 | 71 |128m2</t>
  </si>
  <si>
    <t>72PARAMO 2</t>
  </si>
  <si>
    <t>PBC | P2 | 72 |128m2</t>
  </si>
  <si>
    <t>73PARAMO 2</t>
  </si>
  <si>
    <t>PBC | P2 | 73 |128m2</t>
  </si>
  <si>
    <t>74PARAMO 2</t>
  </si>
  <si>
    <t>PBC | P2 | 74 |128m2</t>
  </si>
  <si>
    <t>75PARAMO 2</t>
  </si>
  <si>
    <t>PBC | P2 | 75 |128m2</t>
  </si>
  <si>
    <t>76PARAMO 2</t>
  </si>
  <si>
    <t>PBC | P2 | 76 |128m2</t>
  </si>
  <si>
    <t>77PARAMO 2</t>
  </si>
  <si>
    <t>PBC | P2 | 77 |145.74m2</t>
  </si>
  <si>
    <t>78PARAMO 2</t>
  </si>
  <si>
    <t>PBC | P2 | 78 |180m2</t>
  </si>
  <si>
    <t>79PARAMO 2</t>
  </si>
  <si>
    <t>PBC | P2 | 79 |180m2</t>
  </si>
  <si>
    <t>80PARAMO 2</t>
  </si>
  <si>
    <t>PBC | P2 | 80 |167.64m2</t>
  </si>
  <si>
    <t>81PARAMO 2</t>
  </si>
  <si>
    <t>PBC | P2 | 81 |160m2</t>
  </si>
  <si>
    <t>82PARAMO 2</t>
  </si>
  <si>
    <t>PBC | P2 | 82 |160m2</t>
  </si>
  <si>
    <t>83PARAMO 2</t>
  </si>
  <si>
    <t>PBC | P2 | 83 |160m2</t>
  </si>
  <si>
    <t>84PARAMO 2</t>
  </si>
  <si>
    <t>PBC | P2 | 84 |160m2</t>
  </si>
  <si>
    <t>85PARAMO 2</t>
  </si>
  <si>
    <t>PBC | P2 | 85 |160m2</t>
  </si>
  <si>
    <t>86PARAMO 2</t>
  </si>
  <si>
    <t>PBC | P2 | 86 |181.76m2</t>
  </si>
  <si>
    <t>87PARAMO 2</t>
  </si>
  <si>
    <t>PBC | P2 | 87 |146.61m2</t>
  </si>
  <si>
    <t>88PARAMO 2</t>
  </si>
  <si>
    <t>PBC | P2 | 88 |140m2</t>
  </si>
  <si>
    <t>89PARAMO 2</t>
  </si>
  <si>
    <t>PBC | P2 | 89 |140m2</t>
  </si>
  <si>
    <t>90PARAMO 2</t>
  </si>
  <si>
    <t>PBC | P2 | 90 |140m2</t>
  </si>
  <si>
    <t>91PARAMO 2</t>
  </si>
  <si>
    <t>PBC | P2 | 91 |140m2</t>
  </si>
  <si>
    <t>92PARAMO 2</t>
  </si>
  <si>
    <t>PBC | P2 | 92 |140m2</t>
  </si>
  <si>
    <t>93PARAMO 2</t>
  </si>
  <si>
    <t>PBC | P2 | 93 |140m2</t>
  </si>
  <si>
    <t>94PARAMO 2</t>
  </si>
  <si>
    <t>PBC | P2 | 94 |140m2</t>
  </si>
  <si>
    <t>95PARAMO 2</t>
  </si>
  <si>
    <t>PBC | P2 | 95 |140m2</t>
  </si>
  <si>
    <t>96PARAMO 2</t>
  </si>
  <si>
    <t>PBC | P2 | 96 |140m2</t>
  </si>
  <si>
    <t>97PARAMO 2</t>
  </si>
  <si>
    <t>PBC | P2 | 97 |140m2</t>
  </si>
  <si>
    <t>98PARAMO 2</t>
  </si>
  <si>
    <t>PBC | P2 | 98 |140m2</t>
  </si>
  <si>
    <t>99PARAMO 2</t>
  </si>
  <si>
    <t>PBC | P2 | 99 |140m2</t>
  </si>
  <si>
    <t>1PARAMO 3</t>
  </si>
  <si>
    <t>PBC | P3 | 1 |160m2</t>
  </si>
  <si>
    <t>2PARAMO 3</t>
  </si>
  <si>
    <t>PBC | P3 | 2 |160m2</t>
  </si>
  <si>
    <t>3PARAMO 3</t>
  </si>
  <si>
    <t>PBC | P3 | 3 |160m2</t>
  </si>
  <si>
    <t>4PARAMO 3</t>
  </si>
  <si>
    <t>PBC | P3 | 4 |160m2</t>
  </si>
  <si>
    <t>5PARAMO 3</t>
  </si>
  <si>
    <t>PBC | P3 | 5 |160m2</t>
  </si>
  <si>
    <t>6PARAMO 3</t>
  </si>
  <si>
    <t>PBC | P3 | 6 |180m2</t>
  </si>
  <si>
    <t>7PARAMO 3</t>
  </si>
  <si>
    <t>PBC | P3 | 7 |180m2</t>
  </si>
  <si>
    <t>8PARAMO 3</t>
  </si>
  <si>
    <t>PBC | P3 | 8 |172.65m2</t>
  </si>
  <si>
    <t>9PARAMO 3</t>
  </si>
  <si>
    <t>PBC | P3 | 9 |207.55m2</t>
  </si>
  <si>
    <t>10PARAMO 3</t>
  </si>
  <si>
    <t>PBC | P3 | 10 |180m2</t>
  </si>
  <si>
    <t>11PARAMO 3</t>
  </si>
  <si>
    <t>PBC | P3 | 11 |180m2</t>
  </si>
  <si>
    <t>12PARAMO 3</t>
  </si>
  <si>
    <t>PBC | P3 | 12 |180m2</t>
  </si>
  <si>
    <t>13PARAMO 3</t>
  </si>
  <si>
    <t>PBC | P3 | 13 |180m2</t>
  </si>
  <si>
    <t>14PARAMO 3</t>
  </si>
  <si>
    <t>PBC | P3 | 14 |180m2</t>
  </si>
  <si>
    <t>15PARAMO 3</t>
  </si>
  <si>
    <t>PBC | P3 | 15 |180m2</t>
  </si>
  <si>
    <t>16PARAMO 3</t>
  </si>
  <si>
    <t>PBC | P3 | 16 |180m2</t>
  </si>
  <si>
    <t>17PARAMO 3</t>
  </si>
  <si>
    <t>PBC | P3 | 17 |180m2</t>
  </si>
  <si>
    <t>18PARAMO 3</t>
  </si>
  <si>
    <t>PBC | P3 | 18 |180m2</t>
  </si>
  <si>
    <t>19PARAMO 3</t>
  </si>
  <si>
    <t>PBC | P3 | 19 |180m2</t>
  </si>
  <si>
    <t>20PARAMO 3</t>
  </si>
  <si>
    <t>PBC | P3 | 20 |180m2</t>
  </si>
  <si>
    <t>21PARAMO 3</t>
  </si>
  <si>
    <t>PBC | P3 | 21 |180m2</t>
  </si>
  <si>
    <t>22PARAMO 3</t>
  </si>
  <si>
    <t>PBC | P3 | 22 |180m2</t>
  </si>
  <si>
    <t>23PARAMO 3</t>
  </si>
  <si>
    <t>PBC | P3 | 23 |180m2</t>
  </si>
  <si>
    <t>24PARAMO 3</t>
  </si>
  <si>
    <t>PBC | P3 | 24 |180m2</t>
  </si>
  <si>
    <t>25PARAMO 3</t>
  </si>
  <si>
    <t>PBC | P3 | 25 |180m2</t>
  </si>
  <si>
    <t>26PARAMO 3</t>
  </si>
  <si>
    <t>PBC | P3 | 26 |180m2</t>
  </si>
  <si>
    <t>27PARAMO 3</t>
  </si>
  <si>
    <t>PBC | P3 | 27 |180m2</t>
  </si>
  <si>
    <t>28PARAMO 3</t>
  </si>
  <si>
    <t>PBC | P3 | 28 |180m2</t>
  </si>
  <si>
    <t>29PARAMO 3</t>
  </si>
  <si>
    <t>PBC | P3 | 29 |180m2</t>
  </si>
  <si>
    <t>30PARAMO 3</t>
  </si>
  <si>
    <t>PBC | P3 | 30 |180m2</t>
  </si>
  <si>
    <t>31PARAMO 3</t>
  </si>
  <si>
    <t>PBC | P3 | 31 |276.31m2</t>
  </si>
  <si>
    <t>32PARAMO 3</t>
  </si>
  <si>
    <t>PBC | P3 | 32 |200m2</t>
  </si>
  <si>
    <t>33PARAMO 3</t>
  </si>
  <si>
    <t>PBC | P3 | 33 |200m2</t>
  </si>
  <si>
    <t>34PARAMO 3</t>
  </si>
  <si>
    <t>PBC | P3 | 34 |200m2</t>
  </si>
  <si>
    <t>35PARAMO 3</t>
  </si>
  <si>
    <t>PBC | P3 | 35 |200m2</t>
  </si>
  <si>
    <t>36PARAMO 3</t>
  </si>
  <si>
    <t>PBC | P3 | 36 |200m2</t>
  </si>
  <si>
    <t>37PARAMO 3</t>
  </si>
  <si>
    <t>PBC | P3 | 37 |200m2</t>
  </si>
  <si>
    <t>38PARAMO 3</t>
  </si>
  <si>
    <t>PBC | P3 | 38 |200m2</t>
  </si>
  <si>
    <t>39PARAMO 3</t>
  </si>
  <si>
    <t>PBC | P3 | 39 |200m2</t>
  </si>
  <si>
    <t>40PARAMO 3</t>
  </si>
  <si>
    <t>PBC | P3 | 40 |200m2</t>
  </si>
  <si>
    <t>41PARAMO 3</t>
  </si>
  <si>
    <t>PBC | P3 | 41 |200m2</t>
  </si>
  <si>
    <t>42PARAMO 3</t>
  </si>
  <si>
    <t>PBC | P3 | 42 |213.19m2</t>
  </si>
  <si>
    <t>43PARAMO 3</t>
  </si>
  <si>
    <t>PBC | P3 | 43 |263.58m2</t>
  </si>
  <si>
    <t>44PARAMO 3</t>
  </si>
  <si>
    <t>PBC | P3 | 44 |160m2</t>
  </si>
  <si>
    <t>45PARAMO 3</t>
  </si>
  <si>
    <t>PBC | P3 | 45 |160m2</t>
  </si>
  <si>
    <t>46PARAMO 3</t>
  </si>
  <si>
    <t>PBC | P3 | 46 |160m2</t>
  </si>
  <si>
    <t>47PARAMO 3</t>
  </si>
  <si>
    <t>PBC | P3 | 47 |160m2</t>
  </si>
  <si>
    <t>48PARAMO 3</t>
  </si>
  <si>
    <t>PBC | P3 | 48 |160m2</t>
  </si>
  <si>
    <t>49PARAMO 3</t>
  </si>
  <si>
    <t>PBC | P3 | 49 |160m2</t>
  </si>
  <si>
    <t>50PARAMO 3</t>
  </si>
  <si>
    <t>PBC | P3 | 50 |160m2</t>
  </si>
  <si>
    <t>51PARAMO 3</t>
  </si>
  <si>
    <t>PBC | P3 | 51 |160m2</t>
  </si>
  <si>
    <t>52PARAMO 3</t>
  </si>
  <si>
    <t>PBC | P3 | 52 |160m2</t>
  </si>
  <si>
    <t>53PARAMO 3</t>
  </si>
  <si>
    <t>PBC | P3 | 53 |160m2</t>
  </si>
  <si>
    <t>54PARAMO 3</t>
  </si>
  <si>
    <t>PBC | P3 | 54 |160m2</t>
  </si>
  <si>
    <t>55PARAMO 3</t>
  </si>
  <si>
    <t>PBC | P3 | 55 |160m2</t>
  </si>
  <si>
    <t>56PARAMO 3</t>
  </si>
  <si>
    <t>PBC | P3 | 56 |160m2</t>
  </si>
  <si>
    <t>57PARAMO 3</t>
  </si>
  <si>
    <t>PBC | P3 | 57 |160m2</t>
  </si>
  <si>
    <t>58PARAMO 3</t>
  </si>
  <si>
    <t>PBC | P3 | 58 |160m2</t>
  </si>
  <si>
    <t>59PARAMO 3</t>
  </si>
  <si>
    <t>PBC | P3 | 59 |160m2</t>
  </si>
  <si>
    <t>60PARAMO 3</t>
  </si>
  <si>
    <t>PBC | P3 | 60 |160m2</t>
  </si>
  <si>
    <t>61PARAMO 3</t>
  </si>
  <si>
    <t>PBC | P3 | 61 |160m2</t>
  </si>
  <si>
    <t>62PARAMO 3</t>
  </si>
  <si>
    <t>PBC | P3 | 62 |160m2</t>
  </si>
  <si>
    <t>63PARAMO 3</t>
  </si>
  <si>
    <t>PBC | P3 | 63 |160m2</t>
  </si>
  <si>
    <t>64PARAMO 3</t>
  </si>
  <si>
    <t>PBC | P3 | 64 |160m2</t>
  </si>
  <si>
    <t>65PARAMO 3</t>
  </si>
  <si>
    <t>PBC | P3 | 65 |160m2</t>
  </si>
  <si>
    <t>66PARAMO 3</t>
  </si>
  <si>
    <t>PBC | P3 | 66 |160m2</t>
  </si>
  <si>
    <t>67PARAMO 3</t>
  </si>
  <si>
    <t>PBC | P3 | 67 |160m2</t>
  </si>
  <si>
    <t>68PARAMO 3</t>
  </si>
  <si>
    <t>PBC | P3 | 68 |196.8m2</t>
  </si>
  <si>
    <t>69PARAMO 3</t>
  </si>
  <si>
    <t>PBC | P3 | 69 |179.21m2</t>
  </si>
  <si>
    <t>70PARAMO 3</t>
  </si>
  <si>
    <t>PBC | P3 | 70 |181.01m2</t>
  </si>
  <si>
    <t>71PARAMO 3</t>
  </si>
  <si>
    <t>PBC | P3 | 71 |180m2</t>
  </si>
  <si>
    <t>72PARAMO 3</t>
  </si>
  <si>
    <t>PBC | P3 | 72 |180m2</t>
  </si>
  <si>
    <t>73PARAMO 3</t>
  </si>
  <si>
    <t>PBC | P3 | 73 |180m2</t>
  </si>
  <si>
    <t>74PARAMO 3</t>
  </si>
  <si>
    <t>PBC | P3 | 74 |202.5m2</t>
  </si>
  <si>
    <t>75PARAMO 3</t>
  </si>
  <si>
    <t>PBC | P3 | 75 |202.5m2</t>
  </si>
  <si>
    <t>76PARAMO 3</t>
  </si>
  <si>
    <t>PBC | P3 | 76 |202.5m2</t>
  </si>
  <si>
    <t>77PARAMO 3</t>
  </si>
  <si>
    <t>PBC | P3 | 77 |210.15m2</t>
  </si>
  <si>
    <t>78PARAMO 3</t>
  </si>
  <si>
    <t>PBC | P3 | 78 |233.61m2</t>
  </si>
  <si>
    <t>79PARAMO 3</t>
  </si>
  <si>
    <t>PBC | P3 | 79 |225m2</t>
  </si>
  <si>
    <t>80PARAMO 3</t>
  </si>
  <si>
    <t>PBC | P3 | 80 |225m2</t>
  </si>
  <si>
    <t>81PARAMO 3</t>
  </si>
  <si>
    <t>PBC | P3 | 81 |225m2</t>
  </si>
  <si>
    <t>82PARAMO 3</t>
  </si>
  <si>
    <t>PBC | P3 | 82 |200m2</t>
  </si>
  <si>
    <t>83PARAMO 3</t>
  </si>
  <si>
    <t>PBC | P3 | 83 |200m2</t>
  </si>
  <si>
    <t>84PARAMO 3</t>
  </si>
  <si>
    <t>PBC | P3 | 84 |200m2</t>
  </si>
  <si>
    <t>85PARAMO 3</t>
  </si>
  <si>
    <t>PBC | P3 | 85 |203.48m2</t>
  </si>
  <si>
    <t>86PARAMO 3</t>
  </si>
  <si>
    <t>PBC | P3 | 86 |192.5m2</t>
  </si>
  <si>
    <t>87PARAMO 3</t>
  </si>
  <si>
    <t>PBC | P3 | 87 |200m2</t>
  </si>
  <si>
    <t>88PARAMO 3</t>
  </si>
  <si>
    <t>PBC | P3 | 88 |200m2</t>
  </si>
  <si>
    <t>89PARAMO 3</t>
  </si>
  <si>
    <t>PBC | P3 | 89 |200m2</t>
  </si>
  <si>
    <t>90PARAMO 3</t>
  </si>
  <si>
    <t>PBC | P3 | 90 |200m2</t>
  </si>
  <si>
    <t>91PARAMO 3</t>
  </si>
  <si>
    <t>PBC | P3 | 91 |200m2</t>
  </si>
  <si>
    <t>92PARAMO 3</t>
  </si>
  <si>
    <t>PBC | P3 | 92 |200m2</t>
  </si>
  <si>
    <t>93PARAMO 3</t>
  </si>
  <si>
    <t>PBC | P3 | 93 |200m2</t>
  </si>
  <si>
    <t>94PARAMO 3</t>
  </si>
  <si>
    <t>PBC | P3 | 94 |200m2</t>
  </si>
  <si>
    <t>95PARAMO 3</t>
  </si>
  <si>
    <t>PBC | P3 | 95 |200m2</t>
  </si>
  <si>
    <t>96PARAMO 3</t>
  </si>
  <si>
    <t>PBC | P3 | 96 |180m2</t>
  </si>
  <si>
    <t>97PARAMO 3</t>
  </si>
  <si>
    <t>PBC | P3 | 97 |180m2</t>
  </si>
  <si>
    <t>98PARAMO 3</t>
  </si>
  <si>
    <t>PBC | P3 | 98 |180m2</t>
  </si>
  <si>
    <t>99PARAMO 3</t>
  </si>
  <si>
    <t>PBC | P3 | 99 |180m2</t>
  </si>
  <si>
    <t>100PARAMO 3</t>
  </si>
  <si>
    <t>PBC | P3 | 100 |180m2</t>
  </si>
  <si>
    <t>101PARAMO 3</t>
  </si>
  <si>
    <t>PBC | P3 | 101 |180m2</t>
  </si>
  <si>
    <t>102PARAMO 3</t>
  </si>
  <si>
    <t>PBC | P3 | 102 |180m2</t>
  </si>
  <si>
    <t>103PARAMO 3</t>
  </si>
  <si>
    <t>PBC | P3 | 103 |180m2</t>
  </si>
  <si>
    <t>104PARAMO 3</t>
  </si>
  <si>
    <t>PBC | P3 | 104 |180m2</t>
  </si>
  <si>
    <t>105PARAMO 3</t>
  </si>
  <si>
    <t>PBC | P3 | 105 |180m2</t>
  </si>
  <si>
    <t>1SELVA 1</t>
  </si>
  <si>
    <t>PBC | S1 | 1 |156.32m2</t>
  </si>
  <si>
    <t>2SELVA 1</t>
  </si>
  <si>
    <t>PBC | S1 | 2 |156.32m2</t>
  </si>
  <si>
    <t>3SELVA 1</t>
  </si>
  <si>
    <t>PBC | S1 | 3 |156.32m2</t>
  </si>
  <si>
    <t>4SELVA 1</t>
  </si>
  <si>
    <t>PBC | S1 | 4 |128m2</t>
  </si>
  <si>
    <t>5SELVA 1</t>
  </si>
  <si>
    <t>PBC | S1 | 5 |128m2</t>
  </si>
  <si>
    <t>6SELVA 1</t>
  </si>
  <si>
    <t>PBC | S1 | 6 |128m2</t>
  </si>
  <si>
    <t>7SELVA 1</t>
  </si>
  <si>
    <t>PBC | S1 | 7 |128m2</t>
  </si>
  <si>
    <t>8SELVA 1</t>
  </si>
  <si>
    <t>PBC | S1 | 8 |128m2</t>
  </si>
  <si>
    <t>9SELVA 1</t>
  </si>
  <si>
    <t>PBC | S1 | 9 |128m2</t>
  </si>
  <si>
    <t>10SELVA 1</t>
  </si>
  <si>
    <t>PBC | S1 | 10 |128m2</t>
  </si>
  <si>
    <t>11SELVA 1</t>
  </si>
  <si>
    <t>PBC | S1 | 11 |160m2</t>
  </si>
  <si>
    <t>12SELVA 1</t>
  </si>
  <si>
    <t>PBC | S1 | 12 |160m2</t>
  </si>
  <si>
    <t>13SELVA 1</t>
  </si>
  <si>
    <t>PBC | S1 | 13 |160m2</t>
  </si>
  <si>
    <t>14SELVA 1</t>
  </si>
  <si>
    <t>PBC | S1 | 14 |160m2</t>
  </si>
  <si>
    <t>15SELVA 1</t>
  </si>
  <si>
    <t>PBC | S1 | 15 |160m2</t>
  </si>
  <si>
    <t>16SELVA 1</t>
  </si>
  <si>
    <t>PBC | S1 | 16 |160m2</t>
  </si>
  <si>
    <t>17SELVA 1</t>
  </si>
  <si>
    <t>PBC | S1 | 17 |160m2</t>
  </si>
  <si>
    <t>18SELVA 1</t>
  </si>
  <si>
    <t>PBC | S1 | 18 |160m2</t>
  </si>
  <si>
    <t>19SELVA 1</t>
  </si>
  <si>
    <t>PBC | S1 | 19 |160m2</t>
  </si>
  <si>
    <t>20SELVA 1</t>
  </si>
  <si>
    <t>PBC | S1 | 20 |160m2</t>
  </si>
  <si>
    <t>21SELVA 1</t>
  </si>
  <si>
    <t>PBC | S1 | 21 |160m2</t>
  </si>
  <si>
    <t>22SELVA 1</t>
  </si>
  <si>
    <t>PBC | S1 | 22 |160m2</t>
  </si>
  <si>
    <t>23SELVA 1</t>
  </si>
  <si>
    <t>PBC | S1 | 23 |160m2</t>
  </si>
  <si>
    <t>24SELVA 1</t>
  </si>
  <si>
    <t>PBC | S1 | 24 |160m2</t>
  </si>
  <si>
    <t>25SELVA 1</t>
  </si>
  <si>
    <t>PBC | S1 | 25 |160m2</t>
  </si>
  <si>
    <t>26SELVA 1</t>
  </si>
  <si>
    <t>PBC | S1 | 26 |160m2</t>
  </si>
  <si>
    <t>27SELVA 1</t>
  </si>
  <si>
    <t>PBC | S1 | 27 |160m2</t>
  </si>
  <si>
    <t>28SELVA 1</t>
  </si>
  <si>
    <t>PBC | S1 | 28 |160m2</t>
  </si>
  <si>
    <t>29SELVA 1</t>
  </si>
  <si>
    <t>PBC | S1 | 29 |160m2</t>
  </si>
  <si>
    <t>30SELVA 1</t>
  </si>
  <si>
    <t>PBC | S1 | 30 |160m2</t>
  </si>
  <si>
    <t>31SELVA 1</t>
  </si>
  <si>
    <t>PBC | S1 | 31 |159.91m2</t>
  </si>
  <si>
    <t>32SELVA 1</t>
  </si>
  <si>
    <t>PBC | S1 | 32 |128m2</t>
  </si>
  <si>
    <t>33SELVA 1</t>
  </si>
  <si>
    <t>PBC | S1 | 33 |128m2</t>
  </si>
  <si>
    <t>34SELVA 1</t>
  </si>
  <si>
    <t>PBC | S1 | 34 |128m2</t>
  </si>
  <si>
    <t>35SELVA 1</t>
  </si>
  <si>
    <t>PBC | S1 | 35 |128m2</t>
  </si>
  <si>
    <t>36SELVA 1</t>
  </si>
  <si>
    <t>PBC | S1 | 36 |128m2</t>
  </si>
  <si>
    <t>37SELVA 1</t>
  </si>
  <si>
    <t>PBC | S1 | 37 |128m2</t>
  </si>
  <si>
    <t>38SELVA 1</t>
  </si>
  <si>
    <t>PBC | S1 | 38 |128m2</t>
  </si>
  <si>
    <t>39SELVA 1</t>
  </si>
  <si>
    <t>PBC | S1 | 39 |128m2</t>
  </si>
  <si>
    <t>40SELVA 1</t>
  </si>
  <si>
    <t>PBC | S1 | 40 |128m2</t>
  </si>
  <si>
    <t>41SELVA 1</t>
  </si>
  <si>
    <t>PBC | S1 | 41 |128m2</t>
  </si>
  <si>
    <t>42SELVA 1</t>
  </si>
  <si>
    <t>PBC | S1 | 42 |128m2</t>
  </si>
  <si>
    <t>43SELVA 1</t>
  </si>
  <si>
    <t>PBC | S1 | 43 |126.71m2</t>
  </si>
  <si>
    <t>44SELVA 1</t>
  </si>
  <si>
    <t>PBC | S1 | 44 |139.07m2</t>
  </si>
  <si>
    <t>45SELVA 1</t>
  </si>
  <si>
    <t>PBC | S1 | 45 |128m2</t>
  </si>
  <si>
    <t>46SELVA 1</t>
  </si>
  <si>
    <t>PBC | S1 | 46 |128m2</t>
  </si>
  <si>
    <t>47SELVA 1</t>
  </si>
  <si>
    <t>PBC | S1 | 47 |128m2</t>
  </si>
  <si>
    <t>48SELVA 1</t>
  </si>
  <si>
    <t>PBC | S1 | 48 |128m2</t>
  </si>
  <si>
    <t>49SELVA 1</t>
  </si>
  <si>
    <t>PBC | S1 | 49 |128m2</t>
  </si>
  <si>
    <t>50SELVA 1</t>
  </si>
  <si>
    <t>PBC | S1 | 50 |128m2</t>
  </si>
  <si>
    <t>51SELVA 1</t>
  </si>
  <si>
    <t>PBC | S1 | 51 |128m2</t>
  </si>
  <si>
    <t>52SELVA 1</t>
  </si>
  <si>
    <t>PBC | S1 | 52 |128m2</t>
  </si>
  <si>
    <t>53SELVA 1</t>
  </si>
  <si>
    <t>PBC | S1 | 53 |128m2</t>
  </si>
  <si>
    <t>54SELVA 1</t>
  </si>
  <si>
    <t>PBC | S1 | 54 |141.93m2</t>
  </si>
  <si>
    <t>55SELVA 1</t>
  </si>
  <si>
    <t>PBC | S1 | 55 |128m2</t>
  </si>
  <si>
    <t>56SELVA 1</t>
  </si>
  <si>
    <t>PBC | S1 | 56 |128m2</t>
  </si>
  <si>
    <t>57SELVA 1</t>
  </si>
  <si>
    <t>PBC | S1 | 57 |128m2</t>
  </si>
  <si>
    <t>58SELVA 1</t>
  </si>
  <si>
    <t>PBC | S1 | 58 |128m2</t>
  </si>
  <si>
    <t>59SELVA 1</t>
  </si>
  <si>
    <t>PBC | S1 | 59 |128m2</t>
  </si>
  <si>
    <t>60SELVA 1</t>
  </si>
  <si>
    <t>PBC | S1 | 60 |128m2</t>
  </si>
  <si>
    <t>61SELVA 1</t>
  </si>
  <si>
    <t>PBC | S1 | 61 |128m2</t>
  </si>
  <si>
    <t>62SELVA 1</t>
  </si>
  <si>
    <t>PBC | S1 | 62 |128m2</t>
  </si>
  <si>
    <t>63SELVA 1</t>
  </si>
  <si>
    <t>PBC | S1 | 63 |128m2</t>
  </si>
  <si>
    <t>64SELVA 1</t>
  </si>
  <si>
    <t>PBC | S1 | 64 |128m2</t>
  </si>
  <si>
    <t>65SELVA 1</t>
  </si>
  <si>
    <t>PBC | S1 | 65 |128m2</t>
  </si>
  <si>
    <t>66SELVA 1</t>
  </si>
  <si>
    <t>PBC | S1 | 66 |128m2</t>
  </si>
  <si>
    <t>67SELVA 1</t>
  </si>
  <si>
    <t>PBC | S1 | 67 |128m2</t>
  </si>
  <si>
    <t>68SELVA 1</t>
  </si>
  <si>
    <t>PBC | S1 | 68 |128m2</t>
  </si>
  <si>
    <t>69SELVA 1</t>
  </si>
  <si>
    <t>PBC | S1 | 69 |128m2</t>
  </si>
  <si>
    <t>70SELVA 1</t>
  </si>
  <si>
    <t>PBC | S1 | 70 |128m2</t>
  </si>
  <si>
    <t>71SELVA 1</t>
  </si>
  <si>
    <t>PBC | S1 | 71 |128m2</t>
  </si>
  <si>
    <t>72SELVA 1</t>
  </si>
  <si>
    <t>PBC | S1 | 72 |140m2</t>
  </si>
  <si>
    <t>73SELVA 1</t>
  </si>
  <si>
    <t>PBC | S1 | 73 |140m2</t>
  </si>
  <si>
    <t>74SELVA 1</t>
  </si>
  <si>
    <t>PBC | S1 | 74 |140m2</t>
  </si>
  <si>
    <t>75SELVA 1</t>
  </si>
  <si>
    <t>PBC | S1 | 75 |140m2</t>
  </si>
  <si>
    <t>76SELVA 1</t>
  </si>
  <si>
    <t>PBC | S1 | 76 |140m2</t>
  </si>
  <si>
    <t>77SELVA 1</t>
  </si>
  <si>
    <t>PBC | S1 | 77 |140m2</t>
  </si>
  <si>
    <t>78SELVA 1</t>
  </si>
  <si>
    <t>PBC | S1 | 78 |140m2</t>
  </si>
  <si>
    <t>79SELVA 1</t>
  </si>
  <si>
    <t>PBC | S1 | 79 |128m2</t>
  </si>
  <si>
    <t>80SELVA 1</t>
  </si>
  <si>
    <t>PBC | S1 | 80 |128m2</t>
  </si>
  <si>
    <t>81SELVA 1</t>
  </si>
  <si>
    <t>PBC | S1 | 81 |128m2</t>
  </si>
  <si>
    <t>82SELVA 1</t>
  </si>
  <si>
    <t>PBC | S1 | 82 |128m2</t>
  </si>
  <si>
    <t>83SELVA 1</t>
  </si>
  <si>
    <t>PBC | S1 | 83 |128m2</t>
  </si>
  <si>
    <t>84SELVA 1</t>
  </si>
  <si>
    <t>PBC | S1 | 84 |128m2</t>
  </si>
  <si>
    <t>85SELVA 1</t>
  </si>
  <si>
    <t>PBC | S1 | 85 |128m2</t>
  </si>
  <si>
    <t>86SELVA 1</t>
  </si>
  <si>
    <t>PBC | S1 | 86 |140m2</t>
  </si>
  <si>
    <t>87SELVA 1</t>
  </si>
  <si>
    <t>PBC | S1 | 87 |140m2</t>
  </si>
  <si>
    <t>88SELVA 1</t>
  </si>
  <si>
    <t>PBC | S1 | 88 |140m2</t>
  </si>
  <si>
    <t>89SELVA 1</t>
  </si>
  <si>
    <t>PBC | S1 | 89 |140m2</t>
  </si>
  <si>
    <t>90SELVA 1</t>
  </si>
  <si>
    <t>PBC | S1 | 90 |140m2</t>
  </si>
  <si>
    <t>91SELVA 1</t>
  </si>
  <si>
    <t>PBC | S1 | 91 |140m2</t>
  </si>
  <si>
    <t>92SELVA 1</t>
  </si>
  <si>
    <t>PBC | S1 | 92 |140m2</t>
  </si>
  <si>
    <t>93SELVA 1</t>
  </si>
  <si>
    <t>PBC | S1 | 93 |177.97m2</t>
  </si>
  <si>
    <t>94SELVA 1</t>
  </si>
  <si>
    <t>PBC | S1 | 94 |177.97m2</t>
  </si>
  <si>
    <t>95SELVA 1</t>
  </si>
  <si>
    <t>PBC | S1 | 95 |140m2</t>
  </si>
  <si>
    <t>96SELVA 1</t>
  </si>
  <si>
    <t>PBC | S1 | 96 |140m2</t>
  </si>
  <si>
    <t>97SELVA 1</t>
  </si>
  <si>
    <t>PBC | S1 | 97 |140m2</t>
  </si>
  <si>
    <t>98SELVA 1</t>
  </si>
  <si>
    <t>PBC | S1 | 98 |138.74m2</t>
  </si>
  <si>
    <t>99SELVA 1</t>
  </si>
  <si>
    <t>PBC | S1 | 99 |127.22m2</t>
  </si>
  <si>
    <t>100SELVA 1</t>
  </si>
  <si>
    <t>PBC | S1 | 100 |128m2</t>
  </si>
  <si>
    <t>101SELVA 1</t>
  </si>
  <si>
    <t>PBC | S1 | 101 |128m2</t>
  </si>
  <si>
    <t>102SELVA 1</t>
  </si>
  <si>
    <t>PBC | S1 | 102 |128m2</t>
  </si>
  <si>
    <t>103SELVA 1</t>
  </si>
  <si>
    <t>PBC | S1 | 103 |128m2</t>
  </si>
  <si>
    <t>104SELVA 1</t>
  </si>
  <si>
    <t>PBC | S1 | 104 |128m2</t>
  </si>
  <si>
    <t>105SELVA 1</t>
  </si>
  <si>
    <t>PBC | S1 | 105 |159.07m2</t>
  </si>
  <si>
    <t>106SELVA 1</t>
  </si>
  <si>
    <t>PBC | S1 | 106 |159.07m2</t>
  </si>
  <si>
    <t>107SELVA 1</t>
  </si>
  <si>
    <t>PBC | S1 | 107 |140m2</t>
  </si>
  <si>
    <t>108SELVA 1</t>
  </si>
  <si>
    <t>PBC | S1 | 108 |140m2</t>
  </si>
  <si>
    <t>109SELVA 1</t>
  </si>
  <si>
    <t>PBC | S1 | 109 |140m2</t>
  </si>
  <si>
    <t>110SELVA 1</t>
  </si>
  <si>
    <t>PBC | S1 | 110 |128m2</t>
  </si>
  <si>
    <t>111SELVA 1</t>
  </si>
  <si>
    <t>PBC | S1 | 111 |128m2</t>
  </si>
  <si>
    <t>112SELVA 1</t>
  </si>
  <si>
    <t>PBC | S1 | 112 |128m2</t>
  </si>
  <si>
    <t>113SELVA 1</t>
  </si>
  <si>
    <t>PBC | S1 | 113 |128m2</t>
  </si>
  <si>
    <t>114SELVA 1</t>
  </si>
  <si>
    <t>PBC | S1 | 114 |148.96m2</t>
  </si>
  <si>
    <t>1SELVA 2</t>
  </si>
  <si>
    <t>PBC | S2 | 1 |128m2</t>
  </si>
  <si>
    <t>2SELVA 2</t>
  </si>
  <si>
    <t>PBC | S2 | 2 |128m2</t>
  </si>
  <si>
    <t>3SELVA 2</t>
  </si>
  <si>
    <t>PBC | S2 | 3 |128m2</t>
  </si>
  <si>
    <t>4SELVA 2</t>
  </si>
  <si>
    <t>PBC | S2 | 4 |128m2</t>
  </si>
  <si>
    <t>5SELVA 2</t>
  </si>
  <si>
    <t>PBC | S2 | 5 |128m2</t>
  </si>
  <si>
    <t>6SELVA 2</t>
  </si>
  <si>
    <t>PBC | S2 | 6 |128m2</t>
  </si>
  <si>
    <t>7SELVA 2</t>
  </si>
  <si>
    <t>PBC | S2 | 7 |128m2</t>
  </si>
  <si>
    <t>8SELVA 2</t>
  </si>
  <si>
    <t>PBC | S2 | 8 |128m2</t>
  </si>
  <si>
    <t>9SELVA 2</t>
  </si>
  <si>
    <t>PBC | S2 | 9 |128m2</t>
  </si>
  <si>
    <t>10SELVA 2</t>
  </si>
  <si>
    <t>PBC | S2 | 10 |128m2</t>
  </si>
  <si>
    <t>11SELVA 2</t>
  </si>
  <si>
    <t>PBC | S2 | 11 |128m2</t>
  </si>
  <si>
    <t>12SELVA 2</t>
  </si>
  <si>
    <t>PBC | S2 | 12 |128m2</t>
  </si>
  <si>
    <t>13SELVA 2</t>
  </si>
  <si>
    <t>PBC | S2 | 13 |128m2</t>
  </si>
  <si>
    <t>14SELVA 2</t>
  </si>
  <si>
    <t>PBC | S2 | 14 |128m2</t>
  </si>
  <si>
    <t>15SELVA 2</t>
  </si>
  <si>
    <t>PBC | S2 | 15 |128m2</t>
  </si>
  <si>
    <t>16SELVA 2</t>
  </si>
  <si>
    <t>PBC | S2 | 16 |128m2</t>
  </si>
  <si>
    <t>17SELVA 2</t>
  </si>
  <si>
    <t>PBC | S2 | 17 |128m2</t>
  </si>
  <si>
    <t>18SELVA 2</t>
  </si>
  <si>
    <t>PBC | S2 | 18 |128m2</t>
  </si>
  <si>
    <t>19SELVA 2</t>
  </si>
  <si>
    <t>PBC | S2 | 19 |128m2</t>
  </si>
  <si>
    <t>20SELVA 2</t>
  </si>
  <si>
    <t>PBC | S2 | 20 |138.78m2</t>
  </si>
  <si>
    <t>21SELVA 2</t>
  </si>
  <si>
    <t>PBC | S2 | 21 |159.08m2</t>
  </si>
  <si>
    <t>22SELVA 2</t>
  </si>
  <si>
    <t>PBC | S2 | 22 |128m2</t>
  </si>
  <si>
    <t>23SELVA 2</t>
  </si>
  <si>
    <t>PBC | S2 | 23 |128m2</t>
  </si>
  <si>
    <t>24SELVA 2</t>
  </si>
  <si>
    <t>PBC | S2 | 24 |128m2</t>
  </si>
  <si>
    <t>25SELVA 2</t>
  </si>
  <si>
    <t>PBC | S2 | 25 |128m2</t>
  </si>
  <si>
    <t>26SELVA 2</t>
  </si>
  <si>
    <t>PBC | S2 | 26 |128m2</t>
  </si>
  <si>
    <t>27SELVA 2</t>
  </si>
  <si>
    <t>PBC | S2 | 27 |128m2</t>
  </si>
  <si>
    <t>28SELVA 2</t>
  </si>
  <si>
    <t>PBC | S2 | 28 |128m2</t>
  </si>
  <si>
    <t>29SELVA 2</t>
  </si>
  <si>
    <t>PBC | S2 | 29 |128m2</t>
  </si>
  <si>
    <t>30SELVA 2</t>
  </si>
  <si>
    <t>PBC | S2 | 30 |128m2</t>
  </si>
  <si>
    <t>31SELVA 2</t>
  </si>
  <si>
    <t>PBC | S2 | 31 |128m2</t>
  </si>
  <si>
    <t>32SELVA 2</t>
  </si>
  <si>
    <t>PBC | S2 | 32 |128m2</t>
  </si>
  <si>
    <t>33SELVA 2</t>
  </si>
  <si>
    <t>PBC | S2 | 33 |138.78m2</t>
  </si>
  <si>
    <t>34SELVA 2</t>
  </si>
  <si>
    <t>PBC | S2 | 34 |214.64m2</t>
  </si>
  <si>
    <t>35SELVA 2</t>
  </si>
  <si>
    <t>PBC | S2 | 35 |197.8m2</t>
  </si>
  <si>
    <t>36SELVA 2</t>
  </si>
  <si>
    <t>PBC | S2 | 36 |160m2</t>
  </si>
  <si>
    <t>37SELVA 2</t>
  </si>
  <si>
    <t>PBC | S2 | 37 |160m2</t>
  </si>
  <si>
    <t>38SELVA 2</t>
  </si>
  <si>
    <t>PBC | S2 | 38 |160m2</t>
  </si>
  <si>
    <t>39SELVA 2</t>
  </si>
  <si>
    <t>PBC | S2 | 39 |160m2</t>
  </si>
  <si>
    <t>40SELVA 2</t>
  </si>
  <si>
    <t>PBC | S2 | 40 |160m2</t>
  </si>
  <si>
    <t>41SELVA 2</t>
  </si>
  <si>
    <t>PBC | S2 | 41 |160m2</t>
  </si>
  <si>
    <t>42SELVA 2</t>
  </si>
  <si>
    <t>PBC | S2 | 42 |160m2</t>
  </si>
  <si>
    <t>43SELVA 2</t>
  </si>
  <si>
    <t>PBC | S2 | 43 |160m2</t>
  </si>
  <si>
    <t>44SELVA 2</t>
  </si>
  <si>
    <t>PBC | S2 | 44 |160m2</t>
  </si>
  <si>
    <t>45SELVA 2</t>
  </si>
  <si>
    <t>PBC | S2 | 45 |160m2</t>
  </si>
  <si>
    <t>46SELVA 2</t>
  </si>
  <si>
    <t>PBC | S2 | 46 |160m2</t>
  </si>
  <si>
    <t>47SELVA 2</t>
  </si>
  <si>
    <t>PBC | S2 | 47 |160m2</t>
  </si>
  <si>
    <t>48SELVA 2</t>
  </si>
  <si>
    <t>PBC | S2 | 48 |160m2</t>
  </si>
  <si>
    <t>49SELVA 2</t>
  </si>
  <si>
    <t>PBC | S2 | 49 |160m2</t>
  </si>
  <si>
    <t>50SELVA 2</t>
  </si>
  <si>
    <t>PBC | S2 | 50 |160m2</t>
  </si>
  <si>
    <t>51SELVA 2</t>
  </si>
  <si>
    <t>PBC | S2 | 51 |160m2</t>
  </si>
  <si>
    <t>52SELVA 2</t>
  </si>
  <si>
    <t>PBC | S2 | 52 |160m2</t>
  </si>
  <si>
    <t>53SELVA 2</t>
  </si>
  <si>
    <t>PBC | S2 | 53 |160m2</t>
  </si>
  <si>
    <t>54SELVA 2</t>
  </si>
  <si>
    <t>PBC | S2 | 54 |160m2</t>
  </si>
  <si>
    <t>55SELVA 2</t>
  </si>
  <si>
    <t>PBC | S2 | 55 |150.08m2</t>
  </si>
  <si>
    <t>56SELVA 2</t>
  </si>
  <si>
    <t>PBC | S2 | 56 |128m2</t>
  </si>
  <si>
    <t>57SELVA 2</t>
  </si>
  <si>
    <t>PBC | S2 | 57 |128m2</t>
  </si>
  <si>
    <t>58SELVA 2</t>
  </si>
  <si>
    <t>PBC | S2 | 58 |128m2</t>
  </si>
  <si>
    <t>59SELVA 2</t>
  </si>
  <si>
    <t>PBC | S2 | 59 |128m2</t>
  </si>
  <si>
    <t>60SELVA 2</t>
  </si>
  <si>
    <t>PBC | S2 | 60 |128m2</t>
  </si>
  <si>
    <t>61SELVA 2</t>
  </si>
  <si>
    <t>PBC | S2 | 61 |128m2</t>
  </si>
  <si>
    <t>62SELVA 2</t>
  </si>
  <si>
    <t>PBC | S2 | 62 |128m2</t>
  </si>
  <si>
    <t>63SELVA 2</t>
  </si>
  <si>
    <t>PBC | S2 | 63 |128m2</t>
  </si>
  <si>
    <t>64SELVA 2</t>
  </si>
  <si>
    <t>PBC | S2 | 64 |128m2</t>
  </si>
  <si>
    <t>65SELVA 2</t>
  </si>
  <si>
    <t>PBC | S2 | 65 |128m2</t>
  </si>
  <si>
    <t>66SELVA 2</t>
  </si>
  <si>
    <t>PBC | S2 | 66 |128m2</t>
  </si>
  <si>
    <t>67SELVA 2</t>
  </si>
  <si>
    <t>PBC | S2 | 67 |128m2</t>
  </si>
  <si>
    <t>68SELVA 2</t>
  </si>
  <si>
    <t>PBC | S2 | 68 |128m2</t>
  </si>
  <si>
    <t>69SELVA 2</t>
  </si>
  <si>
    <t>PBC | S2 | 69 |128m2</t>
  </si>
  <si>
    <t>70SELVA 2</t>
  </si>
  <si>
    <t>PBC | S2 | 70 |128m2</t>
  </si>
  <si>
    <t>71SELVA 2</t>
  </si>
  <si>
    <t>PBC | S2 | 71 |128m2</t>
  </si>
  <si>
    <t>72SELVA 2</t>
  </si>
  <si>
    <t>PBC | S2 | 72 |128m2</t>
  </si>
  <si>
    <t>73SELVA 2</t>
  </si>
  <si>
    <t>PBC | S2 | 73 |140m2</t>
  </si>
  <si>
    <t>74SELVA 2</t>
  </si>
  <si>
    <t>PBC | S2 | 74 |140m2</t>
  </si>
  <si>
    <t>75SELVA 2</t>
  </si>
  <si>
    <t>PBC | S2 | 75 |140m2</t>
  </si>
  <si>
    <t>76SELVA 2</t>
  </si>
  <si>
    <t>PBC | S2 | 76 |140m2</t>
  </si>
  <si>
    <t>77SELVA 2</t>
  </si>
  <si>
    <t>PBC | S2 | 77 |140m2</t>
  </si>
  <si>
    <t>78SELVA 2</t>
  </si>
  <si>
    <t>PBC | S2 | 78 |140m2</t>
  </si>
  <si>
    <t>79SELVA 2</t>
  </si>
  <si>
    <t>PBC | S2 | 79 |140m2</t>
  </si>
  <si>
    <t>80SELVA 2</t>
  </si>
  <si>
    <t>PBC | S2 | 80 |140m2</t>
  </si>
  <si>
    <t>81SELVA 2</t>
  </si>
  <si>
    <t>PBC | S2 | 81 |140m2</t>
  </si>
  <si>
    <t>82SELVA 2</t>
  </si>
  <si>
    <t>PBC | S2 | 82 |128m2</t>
  </si>
  <si>
    <t>83SELVA 2</t>
  </si>
  <si>
    <t>PBC | S2 | 83 |128m2</t>
  </si>
  <si>
    <t>84SELVA 2</t>
  </si>
  <si>
    <t>PBC | S2 | 84 |128m2</t>
  </si>
  <si>
    <t>85SELVA 2</t>
  </si>
  <si>
    <t>PBC | S2 | 85 |128m2</t>
  </si>
  <si>
    <t>86SELVA 2</t>
  </si>
  <si>
    <t>PBC | S2 | 86 |128m2</t>
  </si>
  <si>
    <t>87SELVA 2</t>
  </si>
  <si>
    <t>PBC | S2 | 87 |128m2</t>
  </si>
  <si>
    <t>88SELVA 2</t>
  </si>
  <si>
    <t>PBC | S2 | 88 |140m2</t>
  </si>
  <si>
    <t>89SELVA 2</t>
  </si>
  <si>
    <t>PBC | S2 | 89 |140m2</t>
  </si>
  <si>
    <t>90SELVA 2</t>
  </si>
  <si>
    <t>PBC | S2 | 90 |140m2</t>
  </si>
  <si>
    <t>91SELVA 2</t>
  </si>
  <si>
    <t>PBC | S2 | 91 |140m2</t>
  </si>
  <si>
    <t>92SELVA 2</t>
  </si>
  <si>
    <t>PBC | S2 | 92 |140m2</t>
  </si>
  <si>
    <t>93SELVA 2</t>
  </si>
  <si>
    <t>PBC | S2 | 93 |140m2</t>
  </si>
  <si>
    <t>94SELVA 2</t>
  </si>
  <si>
    <t>PBC | S2 | 94 |149.45m2</t>
  </si>
  <si>
    <t>95SELVA 2</t>
  </si>
  <si>
    <t>PBC | S2 | 95 |149.45m2</t>
  </si>
  <si>
    <t>96SELVA 2</t>
  </si>
  <si>
    <t>PBC | S2 | 96 |149.45m2</t>
  </si>
  <si>
    <t>97SELVA 2</t>
  </si>
  <si>
    <t>PBC | S2 | 97 |149.45m2</t>
  </si>
  <si>
    <t>98SELVA 2</t>
  </si>
  <si>
    <t>PBC | S2 | 98 |140m2</t>
  </si>
  <si>
    <t>99SELVA 2</t>
  </si>
  <si>
    <t>PBC | S2 | 99 |140m2</t>
  </si>
  <si>
    <t>100SELVA 2</t>
  </si>
  <si>
    <t>PBC | S2 | 100 |140m2</t>
  </si>
  <si>
    <t>101SELVA 2</t>
  </si>
  <si>
    <t>PBC | S2 | 101 |140m2</t>
  </si>
  <si>
    <t>102SELVA 2</t>
  </si>
  <si>
    <t>PBC | S2 | 102 |140m2</t>
  </si>
  <si>
    <t>103SELVA 2</t>
  </si>
  <si>
    <t>PBC | S2 | 103 |140m2</t>
  </si>
  <si>
    <t>104SELVA 2</t>
  </si>
  <si>
    <t>PBC | S2 | 104 |140m2</t>
  </si>
  <si>
    <t>105SELVA 2</t>
  </si>
  <si>
    <t>PBC | S2 | 105 |140m2</t>
  </si>
  <si>
    <t>106SELVA 2</t>
  </si>
  <si>
    <t>PBC | S2 | 106 |140m2</t>
  </si>
  <si>
    <t>107SELVA 2</t>
  </si>
  <si>
    <t>PBC | S2 | 107 |128m2</t>
  </si>
  <si>
    <t>108SELVA 2</t>
  </si>
  <si>
    <t>PBC | S2 | 108 |128m2</t>
  </si>
  <si>
    <t>109SELVA 2</t>
  </si>
  <si>
    <t>PBC | S2 | 109 |128m2</t>
  </si>
  <si>
    <t>110SELVA 2</t>
  </si>
  <si>
    <t>PBC | S2 | 110 |128m2</t>
  </si>
  <si>
    <t>111SELVA 2</t>
  </si>
  <si>
    <t>PBC | S2 | 111 |128m2</t>
  </si>
  <si>
    <t>112SELVA 2</t>
  </si>
  <si>
    <t>PBC | S2 | 112 |128m2</t>
  </si>
  <si>
    <t>113SELVA 2</t>
  </si>
  <si>
    <t>PBC | S2 | 113 |128m2</t>
  </si>
  <si>
    <t>114SELVA 2</t>
  </si>
  <si>
    <t>PBC | S2 | 114 |128m2</t>
  </si>
  <si>
    <t>115SELVA 2</t>
  </si>
  <si>
    <t>PBC | S2 | 115 |128m2</t>
  </si>
  <si>
    <t>1SELVA 3</t>
  </si>
  <si>
    <t>PBC | S3 | 1 |200.6m2</t>
  </si>
  <si>
    <t>2SELVA 3</t>
  </si>
  <si>
    <t>PBC | S3 | 2 |160m2</t>
  </si>
  <si>
    <t>3SELVA 3</t>
  </si>
  <si>
    <t>PBC | S3 | 3 |160m2</t>
  </si>
  <si>
    <t>4SELVA 3</t>
  </si>
  <si>
    <t>PBC | S3 | 4 |160m2</t>
  </si>
  <si>
    <t>5SELVA 3</t>
  </si>
  <si>
    <t>PBC | S3 | 5 |160m2</t>
  </si>
  <si>
    <t>6SELVA 3</t>
  </si>
  <si>
    <t>PBC | S3 | 6 |160m2</t>
  </si>
  <si>
    <t>7SELVA 3</t>
  </si>
  <si>
    <t>PBC | S3 | 7 |160m2</t>
  </si>
  <si>
    <t>8SELVA 3</t>
  </si>
  <si>
    <t>PBC | S3 | 8 |160m2</t>
  </si>
  <si>
    <t>9SELVA 3</t>
  </si>
  <si>
    <t>PBC | S3 | 9 |160m2</t>
  </si>
  <si>
    <t>10SELVA 3</t>
  </si>
  <si>
    <t>PBC | S3 | 10 |160m2</t>
  </si>
  <si>
    <t>11SELVA 3</t>
  </si>
  <si>
    <t>PBC | S3 | 11 |160m2</t>
  </si>
  <si>
    <t>12SELVA 3</t>
  </si>
  <si>
    <t>PBC | S3 | 12 |160m2</t>
  </si>
  <si>
    <t>13SELVA 3</t>
  </si>
  <si>
    <t>PBC | S3 | 13 |160m2</t>
  </si>
  <si>
    <t>14SELVA 3</t>
  </si>
  <si>
    <t>PBC | S3 | 14 |160m2</t>
  </si>
  <si>
    <t>15SELVA 3</t>
  </si>
  <si>
    <t>PBC | S3 | 15 |160m2</t>
  </si>
  <si>
    <t>16SELVA 3</t>
  </si>
  <si>
    <t>PBC | S3 | 16 |200m2</t>
  </si>
  <si>
    <t>17SELVA 3</t>
  </si>
  <si>
    <t>PBC | S3 | 17 |200m2</t>
  </si>
  <si>
    <t>18SELVA 3</t>
  </si>
  <si>
    <t>PBC | S3 | 18 |200m2</t>
  </si>
  <si>
    <t>19SELVA 3</t>
  </si>
  <si>
    <t>PBC | S3 | 19 |200m2</t>
  </si>
  <si>
    <t>20SELVA 3</t>
  </si>
  <si>
    <t>PBC | S3 | 20 |200m2</t>
  </si>
  <si>
    <t>21SELVA 3</t>
  </si>
  <si>
    <t>PBC | S3 | 21 |200m2</t>
  </si>
  <si>
    <t>22SELVA 3</t>
  </si>
  <si>
    <t>PBC | S3 | 22 |200m2</t>
  </si>
  <si>
    <t>23SELVA 3</t>
  </si>
  <si>
    <t>PBC | S3 | 23 |200m2</t>
  </si>
  <si>
    <t>24SELVA 3</t>
  </si>
  <si>
    <t>PBC | S3 | 24 |200m2</t>
  </si>
  <si>
    <t>25SELVA 3</t>
  </si>
  <si>
    <t>PBC | S3 | 25 |200m2</t>
  </si>
  <si>
    <t>26SELVA 3</t>
  </si>
  <si>
    <t>PBC | S3 | 26 |200m2</t>
  </si>
  <si>
    <t>27SELVA 3</t>
  </si>
  <si>
    <t>PBC | S3 | 27 |200m2</t>
  </si>
  <si>
    <t>28SELVA 3</t>
  </si>
  <si>
    <t>PBC | S3 | 28 |200m2</t>
  </si>
  <si>
    <t>29SELVA 3</t>
  </si>
  <si>
    <t>PBC | S3 | 29 |200m2</t>
  </si>
  <si>
    <t>30SELVA 3</t>
  </si>
  <si>
    <t>PBC | S3 | 30 |200m2</t>
  </si>
  <si>
    <t>31SELVA 3</t>
  </si>
  <si>
    <t>PBC | S3 | 31 |200m2</t>
  </si>
  <si>
    <t>32SELVA 3</t>
  </si>
  <si>
    <t>PBC | S3 | 32 |200m2</t>
  </si>
  <si>
    <t>33SELVA 3</t>
  </si>
  <si>
    <t>PBC | S3 | 33 |200m2</t>
  </si>
  <si>
    <t>34SELVA 3</t>
  </si>
  <si>
    <t>PBC | S3 | 34 |200m2</t>
  </si>
  <si>
    <t>35SELVA 3</t>
  </si>
  <si>
    <t>PBC | S3 | 35 |225m2</t>
  </si>
  <si>
    <t>36SELVA 3</t>
  </si>
  <si>
    <t>PBC | S3 | 36 |225m2</t>
  </si>
  <si>
    <t>37SELVA 3</t>
  </si>
  <si>
    <t>PBC | S3 | 37 |225m2</t>
  </si>
  <si>
    <t>38SELVA 3</t>
  </si>
  <si>
    <t>PBC | S3 | 38 |225m2</t>
  </si>
  <si>
    <t>39SELVA 3</t>
  </si>
  <si>
    <t>PBC | S3 | 39 |243.25m2</t>
  </si>
  <si>
    <t>40SELVA 3</t>
  </si>
  <si>
    <t>PBC | S3 | 40 |290.41m2</t>
  </si>
  <si>
    <t>41SELVA 3</t>
  </si>
  <si>
    <t>PBC | S3 | 41 |248.98m2</t>
  </si>
  <si>
    <t>42SELVA 3</t>
  </si>
  <si>
    <t>PBC | S3 | 42 |248.98m2</t>
  </si>
  <si>
    <t>43SELVA 3</t>
  </si>
  <si>
    <t>PBC | S3 | 43 |248.98m2</t>
  </si>
  <si>
    <t>44SELVA 3</t>
  </si>
  <si>
    <t>PBC | S3 | 44 |248.98m2</t>
  </si>
  <si>
    <t>45SELVA 3</t>
  </si>
  <si>
    <t>PBC | S3 | 45 |249.22m2</t>
  </si>
  <si>
    <t>46SELVA 3</t>
  </si>
  <si>
    <t>PBC | S3 | 46 |200m2</t>
  </si>
  <si>
    <t>47SELVA 3</t>
  </si>
  <si>
    <t>PBC | S3 | 47 |200m2</t>
  </si>
  <si>
    <t>48SELVA 3</t>
  </si>
  <si>
    <t>PBC | S3 | 48 |200m2</t>
  </si>
  <si>
    <t>49SELVA 3</t>
  </si>
  <si>
    <t>PBC | S3 | 49 |200m2</t>
  </si>
  <si>
    <t>50SELVA 3</t>
  </si>
  <si>
    <t>PBC | S3 | 50 |200m2</t>
  </si>
  <si>
    <t>51SELVA 3</t>
  </si>
  <si>
    <t>PBC | S3 | 51 |200m2</t>
  </si>
  <si>
    <t>52SELVA 3</t>
  </si>
  <si>
    <t>PBC | S3 | 52 |200m2</t>
  </si>
  <si>
    <t>53SELVA 3</t>
  </si>
  <si>
    <t>PBC | S3 | 53 |200m2</t>
  </si>
  <si>
    <t>54SELVA 3</t>
  </si>
  <si>
    <t>PBC | S3 | 54 |200m2</t>
  </si>
  <si>
    <t>55SELVA 3</t>
  </si>
  <si>
    <t>PBC | S3 | 55 |200m2</t>
  </si>
  <si>
    <t>56SELVA 3</t>
  </si>
  <si>
    <t>PBC | S3 | 56 |200m2</t>
  </si>
  <si>
    <t>57SELVA 3</t>
  </si>
  <si>
    <t>PBC | S3 | 57 |200m2</t>
  </si>
  <si>
    <t>58SELVA 3</t>
  </si>
  <si>
    <t>PBC | S3 | 58 |200m2</t>
  </si>
  <si>
    <t>59SELVA 3</t>
  </si>
  <si>
    <t>PBC | S3 | 59 |200m2</t>
  </si>
  <si>
    <t>60SELVA 3</t>
  </si>
  <si>
    <t>PBC | S3 | 60 |200m2</t>
  </si>
  <si>
    <t>61SELVA 3</t>
  </si>
  <si>
    <t>PBC | S3 | 61 |200.85m2</t>
  </si>
  <si>
    <t>62SELVA 3</t>
  </si>
  <si>
    <t>PBC | S3 | 62 |201.08m2</t>
  </si>
  <si>
    <t>63SELVA 3</t>
  </si>
  <si>
    <t>PBC | S3 | 63 |201.32m2</t>
  </si>
  <si>
    <t>64SELVA 3</t>
  </si>
  <si>
    <t>PBC | S3 | 64 |201.6m2</t>
  </si>
  <si>
    <t>65SELVA 3</t>
  </si>
  <si>
    <t>PBC | S3 | 65 |186.6m2</t>
  </si>
  <si>
    <t>66SELVA 3</t>
  </si>
  <si>
    <t>PBC | S3 | 66 |186.6m2</t>
  </si>
  <si>
    <t>67SELVA 3</t>
  </si>
  <si>
    <t>PBC | S3 | 67 |160m2</t>
  </si>
  <si>
    <t>68SELVA 3</t>
  </si>
  <si>
    <t>PBC | S3 | 68 |160m2</t>
  </si>
  <si>
    <t>69SELVA 3</t>
  </si>
  <si>
    <t>PBC | S3 | 69 |160m2</t>
  </si>
  <si>
    <t>70SELVA 3</t>
  </si>
  <si>
    <t>PBC | S3 | 70 |160m2</t>
  </si>
  <si>
    <t>71SELVA 3</t>
  </si>
  <si>
    <t>PBC | S3 | 71 |160m2</t>
  </si>
  <si>
    <t>72SELVA 3</t>
  </si>
  <si>
    <t>PBC | S3 | 72 |160m2</t>
  </si>
  <si>
    <t>73SELVA 3</t>
  </si>
  <si>
    <t>PBC | S3 | 73 |160m2</t>
  </si>
  <si>
    <t>74SELVA 3</t>
  </si>
  <si>
    <t>PBC | S3 | 74 |160m2</t>
  </si>
  <si>
    <t>75SELVA 3</t>
  </si>
  <si>
    <t>PBC | S3 | 75 |160m2</t>
  </si>
  <si>
    <t>76SELVA 3</t>
  </si>
  <si>
    <t>PBC | S3 | 76 |160m2</t>
  </si>
  <si>
    <t>77SELVA 3</t>
  </si>
  <si>
    <t>PBC | S3 | 77 |160m2</t>
  </si>
  <si>
    <t>78SELVA 3</t>
  </si>
  <si>
    <t>PBC | S3 | 78 |171.05m2</t>
  </si>
  <si>
    <t>79SELVA 3</t>
  </si>
  <si>
    <t>PBC | S3 | 79 |180m2</t>
  </si>
  <si>
    <t>80SELVA 3</t>
  </si>
  <si>
    <t>PBC | S3 | 80 |180m2</t>
  </si>
  <si>
    <t>81SELVA 3</t>
  </si>
  <si>
    <t>PBC | S3 | 81 |180m2</t>
  </si>
  <si>
    <t>82SELVA 3</t>
  </si>
  <si>
    <t>PBC | S3 | 82 |180m2</t>
  </si>
  <si>
    <t>83SELVA 3</t>
  </si>
  <si>
    <t>PBC | S3 | 83 |180m2</t>
  </si>
  <si>
    <t>84SELVA 3</t>
  </si>
  <si>
    <t>PBC | S3 | 84 |180m2</t>
  </si>
  <si>
    <t>85SELVA 3</t>
  </si>
  <si>
    <t>PBC | S3 | 85 |180m2</t>
  </si>
  <si>
    <t>86SELVA 3</t>
  </si>
  <si>
    <t>PBC | S3 | 86 |180m2</t>
  </si>
  <si>
    <t>87SELVA 3</t>
  </si>
  <si>
    <t>PBC | S3 | 87 |180m2</t>
  </si>
  <si>
    <t>88SELVA 3</t>
  </si>
  <si>
    <t>PBC | S3 | 88 |180m2</t>
  </si>
  <si>
    <t>89SELVA 3</t>
  </si>
  <si>
    <t>PBC | S3 | 89 |180m2</t>
  </si>
  <si>
    <t>90SELVA 3</t>
  </si>
  <si>
    <t>PBC | S3 | 90 |160m2</t>
  </si>
  <si>
    <t>91SELVA 3</t>
  </si>
  <si>
    <t>PBC | S3 | 91 |160m2</t>
  </si>
  <si>
    <t>92SELVA 3</t>
  </si>
  <si>
    <t>PBC | S3 | 92 |160m2</t>
  </si>
  <si>
    <t>93SELVA 3</t>
  </si>
  <si>
    <t>PBC | S3 | 93 |160m2</t>
  </si>
  <si>
    <t>94SELVA 3</t>
  </si>
  <si>
    <t>PBC | S3 | 94 |160m2</t>
  </si>
  <si>
    <t>95SELVA 3</t>
  </si>
  <si>
    <t>PBC | S3 | 95 |160m2</t>
  </si>
  <si>
    <t>96SELVA 3</t>
  </si>
  <si>
    <t>PBC | S3 | 96 |160m2</t>
  </si>
  <si>
    <t>97SELVA 3</t>
  </si>
  <si>
    <t>PBC | S3 | 97 |160m2</t>
  </si>
  <si>
    <t>98SELVA 3</t>
  </si>
  <si>
    <t>PBC | S3 | 98 |160m2</t>
  </si>
  <si>
    <t>99SELVA 3</t>
  </si>
  <si>
    <t>PBC | S3 | 99 |179.71m2</t>
  </si>
  <si>
    <t>100SELVA 3</t>
  </si>
  <si>
    <t>PBC | S3 | 100 |180m2</t>
  </si>
  <si>
    <t>101SELVA 3</t>
  </si>
  <si>
    <t>PBC | S3 | 101 |180m2</t>
  </si>
  <si>
    <t>102SELVA 3</t>
  </si>
  <si>
    <t>PBC | S3 | 102 |180m2</t>
  </si>
  <si>
    <t>103SELVA 3</t>
  </si>
  <si>
    <t>PBC | S3 | 103 |180m2</t>
  </si>
  <si>
    <t>104SELVA 3</t>
  </si>
  <si>
    <t>PBC | S3 | 104 |180m2</t>
  </si>
  <si>
    <t>105SELVA 3</t>
  </si>
  <si>
    <t>PBC | S3 | 105 |180m2</t>
  </si>
  <si>
    <t>1SELVA 4</t>
  </si>
  <si>
    <t>PBC | S4 | 1 |474.6m2</t>
  </si>
  <si>
    <t>2SELVA 4</t>
  </si>
  <si>
    <t>PBC | S4 | 2 |504m2</t>
  </si>
  <si>
    <t>3SELVA 4</t>
  </si>
  <si>
    <t>PBC | S4 | 3 |504m2</t>
  </si>
  <si>
    <t>4SELVA 4</t>
  </si>
  <si>
    <t>PBC | S4 | 4 |504m2</t>
  </si>
  <si>
    <t>5SELVA 4</t>
  </si>
  <si>
    <t>PBC | S4 | 5 |504m2</t>
  </si>
  <si>
    <t>6SELVA 4</t>
  </si>
  <si>
    <t>PBC | S4 | 6 |504m2</t>
  </si>
  <si>
    <t>7SELVA 4</t>
  </si>
  <si>
    <t>PBC | S4 | 7 |504m2</t>
  </si>
  <si>
    <t>8SELVA 4</t>
  </si>
  <si>
    <t>PBC | S4 | 8 |504m2</t>
  </si>
  <si>
    <t>9SELVA 4</t>
  </si>
  <si>
    <t>PBC | S4 | 9 |504m2</t>
  </si>
  <si>
    <t>10SELVA 4</t>
  </si>
  <si>
    <t>PBC | S4 | 10 |504m2</t>
  </si>
  <si>
    <t>11SELVA 4</t>
  </si>
  <si>
    <t>PBC | S4 | 11 |504m2</t>
  </si>
  <si>
    <t>12SELVA 4</t>
  </si>
  <si>
    <t>PBC | S4 | 12 |504m2</t>
  </si>
  <si>
    <t>13SELVA 4</t>
  </si>
  <si>
    <t>PBC | S4 | 13 |504m2</t>
  </si>
  <si>
    <t>14SELVA 4</t>
  </si>
  <si>
    <t>PBC | S4 | 14 |504m2</t>
  </si>
  <si>
    <t>15SELVA 4</t>
  </si>
  <si>
    <t>PBC | S4 | 15 |591.48m2</t>
  </si>
  <si>
    <t>16SELVA 4</t>
  </si>
  <si>
    <t>PBC | S4 | 16 |540m2</t>
  </si>
  <si>
    <t>17SELVA 4</t>
  </si>
  <si>
    <t>PBC | S4 | 17 |540m2</t>
  </si>
  <si>
    <t>18SELVA 4</t>
  </si>
  <si>
    <t>PBC | S4 | 18 |540m2</t>
  </si>
  <si>
    <t>19SELVA 4</t>
  </si>
  <si>
    <t>PBC | S4 | 19 |540m2</t>
  </si>
  <si>
    <t>20SELVA 4</t>
  </si>
  <si>
    <t>PBC | S4 | 20 |540m2</t>
  </si>
  <si>
    <t>21SELVA 4</t>
  </si>
  <si>
    <t>PBC | S4 | 21 |540m2</t>
  </si>
  <si>
    <t>22SELVA 4</t>
  </si>
  <si>
    <t>PBC | S4 | 22 |540m2</t>
  </si>
  <si>
    <t>23SELVA 4</t>
  </si>
  <si>
    <t>PBC | S4 | 23 |540m2</t>
  </si>
  <si>
    <t>24SELVA 4</t>
  </si>
  <si>
    <t>PBC | S4 | 24 |540m2</t>
  </si>
  <si>
    <t>25SELVA 4</t>
  </si>
  <si>
    <t>PBC | S4 | 25 |504m2</t>
  </si>
  <si>
    <t>26SELVA 4</t>
  </si>
  <si>
    <t>PBC | S4 | 26 |504m2</t>
  </si>
  <si>
    <t>27SELVA 4</t>
  </si>
  <si>
    <t>PBC | S4 | 27 |504m2</t>
  </si>
  <si>
    <t>28SELVA 4</t>
  </si>
  <si>
    <t>PBC | S4 | 28 |504m2</t>
  </si>
  <si>
    <t>29SELVA 4</t>
  </si>
  <si>
    <t>PBC | S4 | 29 |504m2</t>
  </si>
  <si>
    <t>30SELVA 4</t>
  </si>
  <si>
    <t>PBC | S4 | 30 |504m2</t>
  </si>
  <si>
    <t>31SELVA 4</t>
  </si>
  <si>
    <t>PBC | S4 | 31 |504m2</t>
  </si>
  <si>
    <t>32SELVA 4</t>
  </si>
  <si>
    <t>PBC | S4 | 32 |540m2</t>
  </si>
  <si>
    <t>33SELVA 4</t>
  </si>
  <si>
    <t>PBC | S4 | 33 |616.74m2</t>
  </si>
  <si>
    <t>34SELVA 4</t>
  </si>
  <si>
    <t>PBC | S4 | 34 |519.48m2</t>
  </si>
  <si>
    <t>35SELVA 4</t>
  </si>
  <si>
    <t>PBC | S4 | 35 |508.71m2</t>
  </si>
  <si>
    <t>36SELVA 4</t>
  </si>
  <si>
    <t>PBC | S4 | 36 |576m2</t>
  </si>
  <si>
    <t>37SELVA 4</t>
  </si>
  <si>
    <t>PBC | S4 | 37 |576m2</t>
  </si>
  <si>
    <t>38SELVA 4</t>
  </si>
  <si>
    <t>PBC | S4 | 38 |576m2</t>
  </si>
  <si>
    <t>39SELVA 4</t>
  </si>
  <si>
    <t>PBC | S4 | 39 |576m2</t>
  </si>
  <si>
    <t>40SELVA 4</t>
  </si>
  <si>
    <t>PBC | S4 | 40 |576m2</t>
  </si>
  <si>
    <t>41SELVA 4</t>
  </si>
  <si>
    <t>PBC | S4 | 41 |420m2</t>
  </si>
  <si>
    <t>42SELVA 4</t>
  </si>
  <si>
    <t>PBC | S4 | 42 |420m2</t>
  </si>
  <si>
    <t>43SELVA 4</t>
  </si>
  <si>
    <t>PBC | S4 | 43 |420m2</t>
  </si>
  <si>
    <t>44SELVA 4</t>
  </si>
  <si>
    <t>PBC | S4 | 44 |470.75m2</t>
  </si>
  <si>
    <t>45SELVA 4</t>
  </si>
  <si>
    <t>PBC | S4 | 45 |408m2</t>
  </si>
  <si>
    <t>46SELVA 4</t>
  </si>
  <si>
    <t>PBC | S4 | 46 |408m2</t>
  </si>
  <si>
    <t>47SELVA 4</t>
  </si>
  <si>
    <t>PBC | S4 | 47 |408m2</t>
  </si>
  <si>
    <t>48SELVA 4</t>
  </si>
  <si>
    <t>PBC | S4 | 48 |457.3m2</t>
  </si>
  <si>
    <t>49SELVA 4</t>
  </si>
  <si>
    <t>PBC | S4 | 49 |420m2</t>
  </si>
  <si>
    <t>50SELVA 4</t>
  </si>
  <si>
    <t>PBC | S4 | 50 |420m2</t>
  </si>
  <si>
    <t>51SELVA 4</t>
  </si>
  <si>
    <t>PBC | S4 | 51 |420m2</t>
  </si>
  <si>
    <t>52SELVA 4</t>
  </si>
  <si>
    <t>PBC | S4 | 52 |420m2</t>
  </si>
  <si>
    <t>53SELVA 4</t>
  </si>
  <si>
    <t>PBC | S4 | 53 |420m2</t>
  </si>
  <si>
    <t>54SELVA 4</t>
  </si>
  <si>
    <t>PBC | S4 | 54 |420m2</t>
  </si>
  <si>
    <t>55SELVA 4</t>
  </si>
  <si>
    <t>PBC | S4 | 55 |420m2</t>
  </si>
  <si>
    <t>56SELVA 4</t>
  </si>
  <si>
    <t>PBC | S4 | 56 |420m2</t>
  </si>
  <si>
    <t>57SELVA 4</t>
  </si>
  <si>
    <t>PBC | S4 | 57 |408m2</t>
  </si>
  <si>
    <t>58SELVA 4</t>
  </si>
  <si>
    <t>PBC | S4 | 58 |408m2</t>
  </si>
  <si>
    <t>59SELVA 4</t>
  </si>
  <si>
    <t>PBC | S4 | 59 |408m2</t>
  </si>
  <si>
    <t>60SELVA 4</t>
  </si>
  <si>
    <t>PBC | S4 | 60 |408m2</t>
  </si>
  <si>
    <t>61SELVA 4</t>
  </si>
  <si>
    <t>PBC | S4 | 61 |408m2</t>
  </si>
  <si>
    <t>62SELVA 4</t>
  </si>
  <si>
    <t>PBC | S4 | 62 |408m2</t>
  </si>
  <si>
    <t>63SELVA 4</t>
  </si>
  <si>
    <t>PBC | S4 | 63 |408m2</t>
  </si>
  <si>
    <t>64SELVA 4</t>
  </si>
  <si>
    <t>PBC | S4 | 64 |408m2</t>
  </si>
  <si>
    <t>1BOSQUE 1</t>
  </si>
  <si>
    <t>PBC | B1 | 1 |158.4m2</t>
  </si>
  <si>
    <t>2BOSQUE 1</t>
  </si>
  <si>
    <t>PBC | B1 | 2 |144m2</t>
  </si>
  <si>
    <t>3BOSQUE 1</t>
  </si>
  <si>
    <t>PBC | B1 | 3 |144m2</t>
  </si>
  <si>
    <t>4BOSQUE 1</t>
  </si>
  <si>
    <t>PBC | B1 | 4 |128m2</t>
  </si>
  <si>
    <t>5BOSQUE 1</t>
  </si>
  <si>
    <t>PBC | B1 | 5 |128m2</t>
  </si>
  <si>
    <t>6BOSQUE 1</t>
  </si>
  <si>
    <t>PBC | B1 | 6 |128m2</t>
  </si>
  <si>
    <t>7BOSQUE 1</t>
  </si>
  <si>
    <t>PBC | B1 | 7 |128m2</t>
  </si>
  <si>
    <t>8BOSQUE 1</t>
  </si>
  <si>
    <t>PBC | B1 | 8 |128m2</t>
  </si>
  <si>
    <t>9BOSQUE 1</t>
  </si>
  <si>
    <t>PBC | B1 | 9 |128m2</t>
  </si>
  <si>
    <t>10BOSQUE 1</t>
  </si>
  <si>
    <t>PBC | B1 | 10 |128m2</t>
  </si>
  <si>
    <t>11BOSQUE 1</t>
  </si>
  <si>
    <t>PBC | B1 | 11 |128m2</t>
  </si>
  <si>
    <t>12BOSQUE 1</t>
  </si>
  <si>
    <t>PBC | B1 | 12 |128m2</t>
  </si>
  <si>
    <t>13BOSQUE 1</t>
  </si>
  <si>
    <t>PBC | B1 | 13 |128m2</t>
  </si>
  <si>
    <t>14BOSQUE 1</t>
  </si>
  <si>
    <t>PBC | B1 | 14 |128m2</t>
  </si>
  <si>
    <t>15BOSQUE 1</t>
  </si>
  <si>
    <t>PBC | B1 | 15 |128m2</t>
  </si>
  <si>
    <t>16BOSQUE 1</t>
  </si>
  <si>
    <t>PBC | B1 | 16 |128m2</t>
  </si>
  <si>
    <t>17BOSQUE 1</t>
  </si>
  <si>
    <t>PBC | B1 | 17 |128m2</t>
  </si>
  <si>
    <t>18BOSQUE 1</t>
  </si>
  <si>
    <t>PBC | B1 | 18 |128m2</t>
  </si>
  <si>
    <t>19BOSQUE 1</t>
  </si>
  <si>
    <t>PBC | B1 | 19 |128m2</t>
  </si>
  <si>
    <t>20BOSQUE 1</t>
  </si>
  <si>
    <t>PBC | B1 | 20 |128m2</t>
  </si>
  <si>
    <t>21BOSQUE 1</t>
  </si>
  <si>
    <t>PBC | B1 | 21 |128m2</t>
  </si>
  <si>
    <t>22BOSQUE 1</t>
  </si>
  <si>
    <t>PBC | B1 | 22 |128m2</t>
  </si>
  <si>
    <t>23BOSQUE 1</t>
  </si>
  <si>
    <t>PBC | B1 | 23 |128m2</t>
  </si>
  <si>
    <t>24BOSQUE 1</t>
  </si>
  <si>
    <t>PBC | B1 | 24 |128m2</t>
  </si>
  <si>
    <t>25BOSQUE 1</t>
  </si>
  <si>
    <t>PBC | B1 | 25 |128m2</t>
  </si>
  <si>
    <t>26BOSQUE 1</t>
  </si>
  <si>
    <t>PBC | B1 | 26 |128m2</t>
  </si>
  <si>
    <t>27BOSQUE 1</t>
  </si>
  <si>
    <t>PBC | B1 | 27 |128m2</t>
  </si>
  <si>
    <t>28BOSQUE 1</t>
  </si>
  <si>
    <t>PBC | B1 | 28 |128m2</t>
  </si>
  <si>
    <t>29BOSQUE 1</t>
  </si>
  <si>
    <t>PBC | B1 | 29 |128m2</t>
  </si>
  <si>
    <t>30BOSQUE 1</t>
  </si>
  <si>
    <t>PBC | B1 | 30 |128m2</t>
  </si>
  <si>
    <t>31BOSQUE 1</t>
  </si>
  <si>
    <t>PBC | B1 | 31 |128m2</t>
  </si>
  <si>
    <t>32BOSQUE 1</t>
  </si>
  <si>
    <t>PBC | B1 | 32 |128m2</t>
  </si>
  <si>
    <t>33BOSQUE 1</t>
  </si>
  <si>
    <t>PBC | B1 | 33 |144m2</t>
  </si>
  <si>
    <t>34BOSQUE 1</t>
  </si>
  <si>
    <t>PBC | B1 | 34 |144m2</t>
  </si>
  <si>
    <t>35BOSQUE 1</t>
  </si>
  <si>
    <t>PBC | B1 | 35 |144m2</t>
  </si>
  <si>
    <t>36BOSQUE 1</t>
  </si>
  <si>
    <t>PBC | B1 | 36 |147.43m2</t>
  </si>
  <si>
    <t>37BOSQUE 1</t>
  </si>
  <si>
    <t>PBC | B1 | 37 |157.97m2</t>
  </si>
  <si>
    <t>38BOSQUE 1</t>
  </si>
  <si>
    <t>PBC | B1 | 38 |140m2</t>
  </si>
  <si>
    <t>39BOSQUE 1</t>
  </si>
  <si>
    <t>PBC | B1 | 39 |140m2</t>
  </si>
  <si>
    <t>40BOSQUE 1</t>
  </si>
  <si>
    <t>PBC | B1 | 40 |140m2</t>
  </si>
  <si>
    <t>41BOSQUE 1</t>
  </si>
  <si>
    <t>PBC | B1 | 41 |140m2</t>
  </si>
  <si>
    <t>42BOSQUE 1</t>
  </si>
  <si>
    <t>PBC | B1 | 42 |140m2</t>
  </si>
  <si>
    <t>43BOSQUE 1</t>
  </si>
  <si>
    <t>PBC | B1 | 43 |157.5m2</t>
  </si>
  <si>
    <t>44BOSQUE 1</t>
  </si>
  <si>
    <t>PBC | B1 | 44 |157.5m2</t>
  </si>
  <si>
    <t>45BOSQUE 1</t>
  </si>
  <si>
    <t>PBC | B1 | 45 |157.5m2</t>
  </si>
  <si>
    <t>46BOSQUE 1</t>
  </si>
  <si>
    <t>PBC | B1 | 46 |140m2</t>
  </si>
  <si>
    <t>47BOSQUE 1</t>
  </si>
  <si>
    <t>PBC | B1 | 47 |140m2</t>
  </si>
  <si>
    <t>48BOSQUE 1</t>
  </si>
  <si>
    <t>PBC | B1 | 48 |140m2</t>
  </si>
  <si>
    <t>49BOSQUE 1</t>
  </si>
  <si>
    <t>PBC | B1 | 49 |140m2</t>
  </si>
  <si>
    <t>50BOSQUE 1</t>
  </si>
  <si>
    <t>PBC | B1 | 50 |140m2</t>
  </si>
  <si>
    <t>51BOSQUE 1</t>
  </si>
  <si>
    <t>PBC | B1 | 51 |140m2</t>
  </si>
  <si>
    <t>52BOSQUE 1</t>
  </si>
  <si>
    <t>PBC | B1 | 52 |140m2</t>
  </si>
  <si>
    <t>53BOSQUE 1</t>
  </si>
  <si>
    <t>PBC | B1 | 53 |140m2</t>
  </si>
  <si>
    <t>54BOSQUE 1</t>
  </si>
  <si>
    <t>PBC | B1 | 54 |140m2</t>
  </si>
  <si>
    <t>55BOSQUE 1</t>
  </si>
  <si>
    <t>PBC | B1 | 55 |140m2</t>
  </si>
  <si>
    <t>56BOSQUE 1</t>
  </si>
  <si>
    <t>PBC | B1 | 56 |140m2</t>
  </si>
  <si>
    <t>57BOSQUE 1</t>
  </si>
  <si>
    <t>PBC | B1 | 57 |158.42m2</t>
  </si>
  <si>
    <t>58BOSQUE 1</t>
  </si>
  <si>
    <t>PBC | B1 | 58 |155.36m2</t>
  </si>
  <si>
    <t>59BOSQUE 1</t>
  </si>
  <si>
    <t>PBC | B1 | 59 |134.2m2</t>
  </si>
  <si>
    <t>60BOSQUE 1</t>
  </si>
  <si>
    <t>PBC | B1 | 60 |123.47m2</t>
  </si>
  <si>
    <t>61BOSQUE 1</t>
  </si>
  <si>
    <t>PBC | B1 | 61 |124.08m2</t>
  </si>
  <si>
    <t>62BOSQUE 1</t>
  </si>
  <si>
    <t>PBC | B1 | 62 |153.07m2</t>
  </si>
  <si>
    <t>63BOSQUE 1</t>
  </si>
  <si>
    <t>PBC | B1 | 63 |156.48m2</t>
  </si>
  <si>
    <t>64BOSQUE 1</t>
  </si>
  <si>
    <t>PBC | B1 | 64 |159.04m2</t>
  </si>
  <si>
    <t>65BOSQUE 1</t>
  </si>
  <si>
    <t>PBC | B1 | 65 |144m2</t>
  </si>
  <si>
    <t>66BOSQUE 1</t>
  </si>
  <si>
    <t>PBC | B1 | 66 |128m2</t>
  </si>
  <si>
    <t>67BOSQUE 1</t>
  </si>
  <si>
    <t>PBC | B1 | 67 |128m2</t>
  </si>
  <si>
    <t>68BOSQUE 1</t>
  </si>
  <si>
    <t>PBC | B1 | 68 |128m2</t>
  </si>
  <si>
    <t>69BOSQUE 1</t>
  </si>
  <si>
    <t>PBC | B1 | 69 |128m2</t>
  </si>
  <si>
    <t>70BOSQUE 1</t>
  </si>
  <si>
    <t>PBC | B1 | 70 |154.65m2</t>
  </si>
  <si>
    <t>71BOSQUE 1</t>
  </si>
  <si>
    <t>PBC | B1 | 71 |168.7m2</t>
  </si>
  <si>
    <t>72BOSQUE 1</t>
  </si>
  <si>
    <t>PBC | B1 | 72 |144m2</t>
  </si>
  <si>
    <t>73BOSQUE 1</t>
  </si>
  <si>
    <t>PBC | B1 | 73 |128m2</t>
  </si>
  <si>
    <t>74BOSQUE 1</t>
  </si>
  <si>
    <t>PBC | B1 | 74 |128m2</t>
  </si>
  <si>
    <t>75BOSQUE 1</t>
  </si>
  <si>
    <t>PBC | B1 | 75 |128m2</t>
  </si>
  <si>
    <t>76BOSQUE 1</t>
  </si>
  <si>
    <t>PBC | B1 | 76 |144m2</t>
  </si>
  <si>
    <t>77BOSQUE 1</t>
  </si>
  <si>
    <t>PBC | B1 | 77 |144m2</t>
  </si>
  <si>
    <t>78BOSQUE 1</t>
  </si>
  <si>
    <t>PBC | B1 | 78 |144m2</t>
  </si>
  <si>
    <t>79BOSQUE 1</t>
  </si>
  <si>
    <t>PBC | B1 | 79 |128m2</t>
  </si>
  <si>
    <t>80BOSQUE 1</t>
  </si>
  <si>
    <t>PBC | B1 | 80 |128m2</t>
  </si>
  <si>
    <t>81BOSQUE 1</t>
  </si>
  <si>
    <t>PBC | B1 | 81 |144m2</t>
  </si>
  <si>
    <t>82BOSQUE 1</t>
  </si>
  <si>
    <t>PBC | B1 | 82 |144m2</t>
  </si>
  <si>
    <t>83BOSQUE 1</t>
  </si>
  <si>
    <t>PBC | B1 | 83 |169m2</t>
  </si>
  <si>
    <t>84BOSQUE 1</t>
  </si>
  <si>
    <t>PBC | B1 | 84 |160m2</t>
  </si>
  <si>
    <t>85BOSQUE 1</t>
  </si>
  <si>
    <t>PBC | B1 | 85 |160m2</t>
  </si>
  <si>
    <t>86BOSQUE 1</t>
  </si>
  <si>
    <t>PBC | B1 | 86 |160m2</t>
  </si>
  <si>
    <t>87BOSQUE 1</t>
  </si>
  <si>
    <t>PBC | B1 | 87 |160m2</t>
  </si>
  <si>
    <t>88BOSQUE 1</t>
  </si>
  <si>
    <t>PBC | B1 | 88 |160m2</t>
  </si>
  <si>
    <t>89BOSQUE 1</t>
  </si>
  <si>
    <t>PBC | B1 | 89 |160m2</t>
  </si>
  <si>
    <t>90BOSQUE 1</t>
  </si>
  <si>
    <t>PBC | B1 | 90 |160m2</t>
  </si>
  <si>
    <t>91BOSQUE 1</t>
  </si>
  <si>
    <t>PBC | B1 | 91 |160m2</t>
  </si>
  <si>
    <t>92BOSQUE 1</t>
  </si>
  <si>
    <t>PBC | B1 | 92 |160m2</t>
  </si>
  <si>
    <t>93BOSQUE 1</t>
  </si>
  <si>
    <t>PBC | B1 | 93 |160m2</t>
  </si>
  <si>
    <t>94BOSQUE 1</t>
  </si>
  <si>
    <t>PBC | B1 | 94 |160m2</t>
  </si>
  <si>
    <t>95BOSQUE 1</t>
  </si>
  <si>
    <t>PBC | B1 | 95 |180m2</t>
  </si>
  <si>
    <t>96BOSQUE 1</t>
  </si>
  <si>
    <t>PBC | B1 | 96 |160m2</t>
  </si>
  <si>
    <t>97BOSQUE 1</t>
  </si>
  <si>
    <t>PBC | B1 | 97 |160m2</t>
  </si>
  <si>
    <t>98BOSQUE 1</t>
  </si>
  <si>
    <t>PBC | B1 | 98 |160m2</t>
  </si>
  <si>
    <t>99BOSQUE 1</t>
  </si>
  <si>
    <t>PBC | B1 | 99 |160m2</t>
  </si>
  <si>
    <t>100BOSQUE 1</t>
  </si>
  <si>
    <t>PBC | B1 | 100 |160m2</t>
  </si>
  <si>
    <t>101BOSQUE 1</t>
  </si>
  <si>
    <t>PBC | B1 | 101 |160m2</t>
  </si>
  <si>
    <t>102BOSQUE 1</t>
  </si>
  <si>
    <t>PBC | B1 | 102 |196.98m2</t>
  </si>
  <si>
    <t>103BOSQUE 1</t>
  </si>
  <si>
    <t>PBC | B1 | 103 |191.39m2</t>
  </si>
  <si>
    <t>104BOSQUE 1</t>
  </si>
  <si>
    <t>PBC | B1 | 104 |128m2</t>
  </si>
  <si>
    <t>105BOSQUE 1</t>
  </si>
  <si>
    <t>PBC | B1 | 105 |128m2</t>
  </si>
  <si>
    <t>106BOSQUE 1</t>
  </si>
  <si>
    <t>PBC | B1 | 106 |128m2</t>
  </si>
  <si>
    <t>107BOSQUE 1</t>
  </si>
  <si>
    <t>PBC | B1 | 107 |128m2</t>
  </si>
  <si>
    <t>108BOSQUE 1</t>
  </si>
  <si>
    <t>PBC | B1 | 108 |128m2</t>
  </si>
  <si>
    <t>109BOSQUE 1</t>
  </si>
  <si>
    <t>PBC | B1 | 109 |128m2</t>
  </si>
  <si>
    <t>110BOSQUE 1</t>
  </si>
  <si>
    <t>PBC | B1 | 110 |144m2</t>
  </si>
  <si>
    <t>1BOSQUE 2</t>
  </si>
  <si>
    <t>PBC | B2 | 1 |148.52m2</t>
  </si>
  <si>
    <t>2BOSQUE 2</t>
  </si>
  <si>
    <t>PBC | B2 | 2 |128m2</t>
  </si>
  <si>
    <t>3BOSQUE 2</t>
  </si>
  <si>
    <t>PBC | B2 | 3 |128m2</t>
  </si>
  <si>
    <t>4BOSQUE 2</t>
  </si>
  <si>
    <t>PBC | B2 | 4 |128m2</t>
  </si>
  <si>
    <t>5BOSQUE 2</t>
  </si>
  <si>
    <t>PBC | B2 | 5 |128m2</t>
  </si>
  <si>
    <t>6BOSQUE 2</t>
  </si>
  <si>
    <t>PBC | B2 | 6 |128m2</t>
  </si>
  <si>
    <t>7BOSQUE 2</t>
  </si>
  <si>
    <t>PBC | B2 | 7 |128m2</t>
  </si>
  <si>
    <t>8BOSQUE 2</t>
  </si>
  <si>
    <t>PBC | B2 | 8 |128m2</t>
  </si>
  <si>
    <t>9BOSQUE 2</t>
  </si>
  <si>
    <t>PBC | B2 | 9 |128m2</t>
  </si>
  <si>
    <t>10BOSQUE 2</t>
  </si>
  <si>
    <t>PBC | B2 | 10 |128m2</t>
  </si>
  <si>
    <t>11BOSQUE 2</t>
  </si>
  <si>
    <t>PBC | B2 | 11 |128m2</t>
  </si>
  <si>
    <t>12BOSQUE 2</t>
  </si>
  <si>
    <t>PBC | B2 | 12 |128m2</t>
  </si>
  <si>
    <t>13BOSQUE 2</t>
  </si>
  <si>
    <t>PBC | B2 | 13 |128m2</t>
  </si>
  <si>
    <t>14BOSQUE 2</t>
  </si>
  <si>
    <t>PBC | B2 | 14 |128m2</t>
  </si>
  <si>
    <t>15BOSQUE 2</t>
  </si>
  <si>
    <t>PBC | B2 | 15 |128m2</t>
  </si>
  <si>
    <t>16BOSQUE 2</t>
  </si>
  <si>
    <t>PBC | B2 | 16 |128m2</t>
  </si>
  <si>
    <t>17BOSQUE 2</t>
  </si>
  <si>
    <t>PBC | B2 | 17 |128m2</t>
  </si>
  <si>
    <t>18BOSQUE 2</t>
  </si>
  <si>
    <t>PBC | B2 | 18 |128m2</t>
  </si>
  <si>
    <t>19BOSQUE 2</t>
  </si>
  <si>
    <t>PBC | B2 | 19 |128m2</t>
  </si>
  <si>
    <t>20BOSQUE 2</t>
  </si>
  <si>
    <t>PBC | B2 | 20 |128m2</t>
  </si>
  <si>
    <t>21BOSQUE 2</t>
  </si>
  <si>
    <t>PBC | B2 | 21 |128m2</t>
  </si>
  <si>
    <t>22BOSQUE 2</t>
  </si>
  <si>
    <t>PBC | B2 | 22 |128m2</t>
  </si>
  <si>
    <t>23BOSQUE 2</t>
  </si>
  <si>
    <t>PBC | B2 | 23 |137.6m2</t>
  </si>
  <si>
    <t>24BOSQUE 2</t>
  </si>
  <si>
    <t>PBC | B2 | 24 |144m2</t>
  </si>
  <si>
    <t>25BOSQUE 2</t>
  </si>
  <si>
    <t>PBC | B2 | 25 |144m2</t>
  </si>
  <si>
    <t>26BOSQUE 2</t>
  </si>
  <si>
    <t>PBC | B2 | 26 |128m2</t>
  </si>
  <si>
    <t>27BOSQUE 2</t>
  </si>
  <si>
    <t>PBC | B2 | 27 |128m2</t>
  </si>
  <si>
    <t>28BOSQUE 2</t>
  </si>
  <si>
    <t>PBC | B2 | 28 |128m2</t>
  </si>
  <si>
    <t>29BOSQUE 2</t>
  </si>
  <si>
    <t>PBC | B2 | 29 |128m2</t>
  </si>
  <si>
    <t>30BOSQUE 2</t>
  </si>
  <si>
    <t>PBC | B2 | 30 |128m2</t>
  </si>
  <si>
    <t>31BOSQUE 2</t>
  </si>
  <si>
    <t>PBC | B2 | 31 |128m2</t>
  </si>
  <si>
    <t>32BOSQUE 2</t>
  </si>
  <si>
    <t>PBC | B2 | 32 |128m2</t>
  </si>
  <si>
    <t>33BOSQUE 2</t>
  </si>
  <si>
    <t>PBC | B2 | 33 |128m2</t>
  </si>
  <si>
    <t>34BOSQUE 2</t>
  </si>
  <si>
    <t>PBC | B2 | 34 |128m2</t>
  </si>
  <si>
    <t>35BOSQUE 2</t>
  </si>
  <si>
    <t>PBC | B2 | 35 |128m2</t>
  </si>
  <si>
    <t>36BOSQUE 2</t>
  </si>
  <si>
    <t>PBC | B2 | 36 |128m2</t>
  </si>
  <si>
    <t>37BOSQUE 2</t>
  </si>
  <si>
    <t>PBC | B2 | 37 |128m2</t>
  </si>
  <si>
    <t>38BOSQUE 2</t>
  </si>
  <si>
    <t>PBC | B2 | 38 |128m2</t>
  </si>
  <si>
    <t>39BOSQUE 2</t>
  </si>
  <si>
    <t>PBC | B2 | 39 |128m2</t>
  </si>
  <si>
    <t>40BOSQUE 2</t>
  </si>
  <si>
    <t>PBC | B2 | 40 |128m2</t>
  </si>
  <si>
    <t>41BOSQUE 2</t>
  </si>
  <si>
    <t>PBC | B2 | 41 |128m2</t>
  </si>
  <si>
    <t>42BOSQUE 2</t>
  </si>
  <si>
    <t>PBC | B2 | 42 |128m2</t>
  </si>
  <si>
    <t>43BOSQUE 2</t>
  </si>
  <si>
    <t>PBC | B2 | 43 |144m2</t>
  </si>
  <si>
    <t>44BOSQUE 2</t>
  </si>
  <si>
    <t>PBC | B2 | 44 |144m2</t>
  </si>
  <si>
    <t>45BOSQUE 2</t>
  </si>
  <si>
    <t>PBC | B2 | 45 |144m2</t>
  </si>
  <si>
    <t>46BOSQUE 2</t>
  </si>
  <si>
    <t>PBC | B2 | 46 |144m2</t>
  </si>
  <si>
    <t>47BOSQUE 2</t>
  </si>
  <si>
    <t>PBC | B2 | 47 |128m2</t>
  </si>
  <si>
    <t>48BOSQUE 2</t>
  </si>
  <si>
    <t>PBC | B2 | 48 |128m2</t>
  </si>
  <si>
    <t>49BOSQUE 2</t>
  </si>
  <si>
    <t>PBC | B2 | 49 |128m2</t>
  </si>
  <si>
    <t>50BOSQUE 2</t>
  </si>
  <si>
    <t>PBC | B2 | 50 |128m2</t>
  </si>
  <si>
    <t>51BOSQUE 2</t>
  </si>
  <si>
    <t>PBC | B2 | 51 |128m2</t>
  </si>
  <si>
    <t>52BOSQUE 2</t>
  </si>
  <si>
    <t>PBC | B2 | 52 |128m2</t>
  </si>
  <si>
    <t>53BOSQUE 2</t>
  </si>
  <si>
    <t>PBC | B2 | 53 |128m2</t>
  </si>
  <si>
    <t>54BOSQUE 2</t>
  </si>
  <si>
    <t>PBC | B2 | 54 |128m2</t>
  </si>
  <si>
    <t>55BOSQUE 2</t>
  </si>
  <si>
    <t>PBC | B2 | 55 |128m2</t>
  </si>
  <si>
    <t>56BOSQUE 2</t>
  </si>
  <si>
    <t>PBC | B2 | 56 |128m2</t>
  </si>
  <si>
    <t>57BOSQUE 2</t>
  </si>
  <si>
    <t>PBC | B2 | 57 |128m2</t>
  </si>
  <si>
    <t>58BOSQUE 2</t>
  </si>
  <si>
    <t>PBC | B2 | 58 |147.65m2</t>
  </si>
  <si>
    <t>59BOSQUE 2</t>
  </si>
  <si>
    <t>PBC | B2 | 59 |138.19m2</t>
  </si>
  <si>
    <t>60BOSQUE 2</t>
  </si>
  <si>
    <t>PBC | B2 | 60 |130.57m2</t>
  </si>
  <si>
    <t>61BOSQUE 2</t>
  </si>
  <si>
    <t>PBC | B2 | 61 |129.54m2</t>
  </si>
  <si>
    <t>62BOSQUE 2</t>
  </si>
  <si>
    <t>PBC | B2 | 62 |128.57m2</t>
  </si>
  <si>
    <t>63BOSQUE 2</t>
  </si>
  <si>
    <t>PBC | B2 | 63 |128m2</t>
  </si>
  <si>
    <t>64BOSQUE 2</t>
  </si>
  <si>
    <t>PBC | B2 | 64 |128m2</t>
  </si>
  <si>
    <t>65BOSQUE 2</t>
  </si>
  <si>
    <t>PBC | B2 | 65 |128m2</t>
  </si>
  <si>
    <t>66BOSQUE 2</t>
  </si>
  <si>
    <t>PBC | B2 | 66 |128m2</t>
  </si>
  <si>
    <t>67BOSQUE 2</t>
  </si>
  <si>
    <t>PBC | B2 | 67 |128m2</t>
  </si>
  <si>
    <t>68BOSQUE 2</t>
  </si>
  <si>
    <t>PBC | B2 | 68 |128m2</t>
  </si>
  <si>
    <t>69BOSQUE 2</t>
  </si>
  <si>
    <t>PBC | B2 | 69 |186.82m2</t>
  </si>
  <si>
    <t>70BOSQUE 2</t>
  </si>
  <si>
    <t>PBC | B2 | 70 |157.5m2</t>
  </si>
  <si>
    <t>71BOSQUE 2</t>
  </si>
  <si>
    <t>PBC | B2 | 71 |140m2</t>
  </si>
  <si>
    <t>72BOSQUE 2</t>
  </si>
  <si>
    <t>PBC | B2 | 72 |140m2</t>
  </si>
  <si>
    <t>73BOSQUE 2</t>
  </si>
  <si>
    <t>PBC | B2 | 73 |140m2</t>
  </si>
  <si>
    <t>74BOSQUE 2</t>
  </si>
  <si>
    <t>PBC | B2 | 74 |157.5m2</t>
  </si>
  <si>
    <t>75BOSQUE 2</t>
  </si>
  <si>
    <t>PBC | B2 | 75 |199.08m2</t>
  </si>
  <si>
    <t>76BOSQUE 2</t>
  </si>
  <si>
    <t>PBC | B2 | 76 |186.82m2</t>
  </si>
  <si>
    <t>77BOSQUE 2</t>
  </si>
  <si>
    <t>PBC | B2 | 77 |157.5m2</t>
  </si>
  <si>
    <t>78BOSQUE 2</t>
  </si>
  <si>
    <t>PBC | B2 | 78 |140m2</t>
  </si>
  <si>
    <t>79BOSQUE 2</t>
  </si>
  <si>
    <t>PBC | B2 | 79 |140m2</t>
  </si>
  <si>
    <t>80BOSQUE 2</t>
  </si>
  <si>
    <t>PBC | B2 | 80 |140m2</t>
  </si>
  <si>
    <t>81BOSQUE 2</t>
  </si>
  <si>
    <t>PBC | B2 | 81 |157.5m2</t>
  </si>
  <si>
    <t>82BOSQUE 2</t>
  </si>
  <si>
    <t>PBC | B2 | 82 |199.08m2</t>
  </si>
  <si>
    <t>83BOSQUE 2</t>
  </si>
  <si>
    <t>PBC | B2 | 83 |185.95m2</t>
  </si>
  <si>
    <t>84BOSQUE 2</t>
  </si>
  <si>
    <t>PBC | B2 | 84 |157.5m2</t>
  </si>
  <si>
    <t>85BOSQUE 2</t>
  </si>
  <si>
    <t>PBC | B2 | 85 |140m2</t>
  </si>
  <si>
    <t>86BOSQUE 2</t>
  </si>
  <si>
    <t>PBC | B2 | 86 |140m2</t>
  </si>
  <si>
    <t>87BOSQUE 2</t>
  </si>
  <si>
    <t>PBC | B2 | 87 |140m2</t>
  </si>
  <si>
    <t>88BOSQUE 2</t>
  </si>
  <si>
    <t>PBC | B2 | 88 |157.5m2</t>
  </si>
  <si>
    <t>89BOSQUE 2</t>
  </si>
  <si>
    <t>PBC | B2 | 89 |199.95m2</t>
  </si>
  <si>
    <t>90BOSQUE 2</t>
  </si>
  <si>
    <t>PBC | B2 | 90 |213.5m2</t>
  </si>
  <si>
    <t>91BOSQUE 2</t>
  </si>
  <si>
    <t>PBC | B2 | 91 |180m2</t>
  </si>
  <si>
    <t>92BOSQUE 2</t>
  </si>
  <si>
    <t>PBC | B2 | 92 |160m2</t>
  </si>
  <si>
    <t>93BOSQUE 2</t>
  </si>
  <si>
    <t>PBC | B2 | 93 |160m2</t>
  </si>
  <si>
    <t>94BOSQUE 2</t>
  </si>
  <si>
    <t>PBC | B2 | 94 |160m2</t>
  </si>
  <si>
    <t>95BOSQUE 2</t>
  </si>
  <si>
    <t>PBC | B2 | 95 |180m2</t>
  </si>
  <si>
    <t>96BOSQUE 2</t>
  </si>
  <si>
    <t>PBC | B2 | 96 |227.52m2</t>
  </si>
  <si>
    <t>97BOSQUE 2</t>
  </si>
  <si>
    <t>PBC | B2 | 97 |168m2</t>
  </si>
  <si>
    <t>98BOSQUE 2</t>
  </si>
  <si>
    <t>PBC | B2 | 98 |160m2</t>
  </si>
  <si>
    <t>99BOSQUE 2</t>
  </si>
  <si>
    <t>PBC | B2 | 99 |160m2</t>
  </si>
  <si>
    <t>100BOSQUE 2</t>
  </si>
  <si>
    <t>PBC | B2 | 100 |160m2</t>
  </si>
  <si>
    <t>101BOSQUE 2</t>
  </si>
  <si>
    <t>PBC | B2 | 101 |160m2</t>
  </si>
  <si>
    <t>102BOSQUE 2</t>
  </si>
  <si>
    <t>PBC | B2 | 102 |160m2</t>
  </si>
  <si>
    <t>103BOSQUE 2</t>
  </si>
  <si>
    <t>PBC | B2 | 103 |160m2</t>
  </si>
  <si>
    <t>104BOSQUE 2</t>
  </si>
  <si>
    <t>PBC | B2 | 104 |160m2</t>
  </si>
  <si>
    <t>105BOSQUE 2</t>
  </si>
  <si>
    <t>PBC | B2 | 105 |160m2</t>
  </si>
  <si>
    <t>106BOSQUE 2</t>
  </si>
  <si>
    <t>PBC | B2 | 106 |160m2</t>
  </si>
  <si>
    <t>107BOSQUE 2</t>
  </si>
  <si>
    <t>PBC | B2 | 107 |160m2</t>
  </si>
  <si>
    <t>108BOSQUE 2</t>
  </si>
  <si>
    <t>PBC | B2 | 108 |160m2</t>
  </si>
  <si>
    <t>109BOSQUE 2</t>
  </si>
  <si>
    <t>PBC | B2 | 109 |160m2</t>
  </si>
  <si>
    <t>110BOSQUE 2</t>
  </si>
  <si>
    <t>PBC | B2 | 110 |140m2</t>
  </si>
  <si>
    <t>111BOSQUE 2</t>
  </si>
  <si>
    <t>PBC | B2 | 111 |140m2</t>
  </si>
  <si>
    <t>112BOSQUE 2</t>
  </si>
  <si>
    <t>PBC | B2 | 112 |140m2</t>
  </si>
  <si>
    <t>113BOSQUE 2</t>
  </si>
  <si>
    <t>PBC | B2 | 113 |140m2</t>
  </si>
  <si>
    <t>114BOSQUE 2</t>
  </si>
  <si>
    <t>PBC | B2 | 114 |140m2</t>
  </si>
  <si>
    <t>115BOSQUE 2</t>
  </si>
  <si>
    <t>PBC | B2 | 115 |140m2</t>
  </si>
  <si>
    <t>116BOSQUE 2</t>
  </si>
  <si>
    <t>PBC | B2 | 116 |140m2</t>
  </si>
  <si>
    <t>117BOSQUE 2</t>
  </si>
  <si>
    <t>PBC | B2 | 117 |140m2</t>
  </si>
  <si>
    <t>1BOSQUE 3</t>
  </si>
  <si>
    <t>PBC | B3 | 1 |180m2</t>
  </si>
  <si>
    <t>2BOSQUE 3</t>
  </si>
  <si>
    <t>PBC | B3 | 2 |180m2</t>
  </si>
  <si>
    <t>3BOSQUE 3</t>
  </si>
  <si>
    <t>PBC | B3 | 3 |180m2</t>
  </si>
  <si>
    <t>4BOSQUE 3</t>
  </si>
  <si>
    <t>PBC | B3 | 4 |180m2</t>
  </si>
  <si>
    <t>5BOSQUE 3</t>
  </si>
  <si>
    <t>PBC | B3 | 5 |180m2</t>
  </si>
  <si>
    <t>6BOSQUE 3</t>
  </si>
  <si>
    <t>PBC | B3 | 6 |180m2</t>
  </si>
  <si>
    <t>7BOSQUE 3</t>
  </si>
  <si>
    <t>PBC | B3 | 7 |180m2</t>
  </si>
  <si>
    <t>8BOSQUE 3</t>
  </si>
  <si>
    <t>PBC | B3 | 8 |180m2</t>
  </si>
  <si>
    <t>9BOSQUE 3</t>
  </si>
  <si>
    <t>PBC | B3 | 9 |180m2</t>
  </si>
  <si>
    <t>10BOSQUE 3</t>
  </si>
  <si>
    <t>PBC | B3 | 10 |160m2</t>
  </si>
  <si>
    <t>11BOSQUE 3</t>
  </si>
  <si>
    <t>PBC | B3 | 11 |160m2</t>
  </si>
  <si>
    <t>12BOSQUE 3</t>
  </si>
  <si>
    <t>PBC | B3 | 12 |160m2</t>
  </si>
  <si>
    <t>13BOSQUE 3</t>
  </si>
  <si>
    <t>PBC | B3 | 13 |160m2</t>
  </si>
  <si>
    <t>14BOSQUE 3</t>
  </si>
  <si>
    <t>PBC | B3 | 14 |160m2</t>
  </si>
  <si>
    <t>15BOSQUE 3</t>
  </si>
  <si>
    <t>PBC | B3 | 15 |160m2</t>
  </si>
  <si>
    <t>16BOSQUE 3</t>
  </si>
  <si>
    <t>PBC | B3 | 16 |180m2</t>
  </si>
  <si>
    <t>17BOSQUE 3</t>
  </si>
  <si>
    <t>PBC | B3 | 17 |184.6m2</t>
  </si>
  <si>
    <t>18BOSQUE 3</t>
  </si>
  <si>
    <t>PBC | B3 | 18 |160m2</t>
  </si>
  <si>
    <t>19BOSQUE 3</t>
  </si>
  <si>
    <t>PBC | B3 | 19 |160m2</t>
  </si>
  <si>
    <t>20BOSQUE 3</t>
  </si>
  <si>
    <t>PBC | B3 | 20 |160m2</t>
  </si>
  <si>
    <t>21BOSQUE 3</t>
  </si>
  <si>
    <t>PBC | B3 | 21 |160m2</t>
  </si>
  <si>
    <t>22BOSQUE 3</t>
  </si>
  <si>
    <t>PBC | B3 | 22 |160m2</t>
  </si>
  <si>
    <t>23BOSQUE 3</t>
  </si>
  <si>
    <t>PBC | B3 | 23 |160m2</t>
  </si>
  <si>
    <t>24BOSQUE 3</t>
  </si>
  <si>
    <t>PBC | B3 | 24 |160m2</t>
  </si>
  <si>
    <t>25BOSQUE 3</t>
  </si>
  <si>
    <t>PBC | B3 | 25 |160m2</t>
  </si>
  <si>
    <t>26BOSQUE 3</t>
  </si>
  <si>
    <t>PBC | B3 | 26 |160m2</t>
  </si>
  <si>
    <t>27BOSQUE 3</t>
  </si>
  <si>
    <t>PBC | B3 | 27 |160m2</t>
  </si>
  <si>
    <t>28BOSQUE 3</t>
  </si>
  <si>
    <t>PBC | B3 | 28 |160m2</t>
  </si>
  <si>
    <t>29BOSQUE 3</t>
  </si>
  <si>
    <t>PBC | B3 | 29 |160m2</t>
  </si>
  <si>
    <t>30BOSQUE 3</t>
  </si>
  <si>
    <t>PBC | B3 | 30 |160m2</t>
  </si>
  <si>
    <t>31BOSQUE 3</t>
  </si>
  <si>
    <t>PBC | B3 | 31 |160m2</t>
  </si>
  <si>
    <t>32BOSQUE 3</t>
  </si>
  <si>
    <t>PBC | B3 | 32 |160m2</t>
  </si>
  <si>
    <t>33BOSQUE 3</t>
  </si>
  <si>
    <t>PBC | B3 | 33 |160m2</t>
  </si>
  <si>
    <t>34BOSQUE 3</t>
  </si>
  <si>
    <t>PBC | B3 | 34 |160m2</t>
  </si>
  <si>
    <t>35BOSQUE 3</t>
  </si>
  <si>
    <t>PBC | B3 | 35 |160m2</t>
  </si>
  <si>
    <t>36BOSQUE 3</t>
  </si>
  <si>
    <t>PBC | B3 | 36 |160m2</t>
  </si>
  <si>
    <t>37BOSQUE 3</t>
  </si>
  <si>
    <t>PBC | B3 | 37 |160m2</t>
  </si>
  <si>
    <t>38BOSQUE 3</t>
  </si>
  <si>
    <t>PBC | B3 | 38 |160m2</t>
  </si>
  <si>
    <t>39BOSQUE 3</t>
  </si>
  <si>
    <t>PBC | B3 | 39 |160m2</t>
  </si>
  <si>
    <t>40BOSQUE 3</t>
  </si>
  <si>
    <t>PBC | B3 | 40 |160m2</t>
  </si>
  <si>
    <t>41BOSQUE 3</t>
  </si>
  <si>
    <t>PBC | B3 | 41 |160m2</t>
  </si>
  <si>
    <t>42BOSQUE 3</t>
  </si>
  <si>
    <t>PBC | B3 | 42 |160m2</t>
  </si>
  <si>
    <t>43BOSQUE 3</t>
  </si>
  <si>
    <t>PBC | B3 | 43 |160m2</t>
  </si>
  <si>
    <t>44BOSQUE 3</t>
  </si>
  <si>
    <t>PBC | B3 | 44 |160m2</t>
  </si>
  <si>
    <t>45BOSQUE 3</t>
  </si>
  <si>
    <t>PBC | B3 | 45 |160m2</t>
  </si>
  <si>
    <t>46BOSQUE 3</t>
  </si>
  <si>
    <t>PBC | B3 | 46 |160m2</t>
  </si>
  <si>
    <t>47BOSQUE 3</t>
  </si>
  <si>
    <t>PBC | B3 | 47 |185.24m2</t>
  </si>
  <si>
    <t>48BOSQUE 3</t>
  </si>
  <si>
    <t>PBC | B3 | 48 |198.75m2</t>
  </si>
  <si>
    <t>49BOSQUE 3</t>
  </si>
  <si>
    <t>PBC | B3 | 49 |160m2</t>
  </si>
  <si>
    <t>50BOSQUE 3</t>
  </si>
  <si>
    <t>PBC | B3 | 50 |160m2</t>
  </si>
  <si>
    <t>51BOSQUE 3</t>
  </si>
  <si>
    <t>PBC | B3 | 51 |160m2</t>
  </si>
  <si>
    <t>52BOSQUE 3</t>
  </si>
  <si>
    <t>PBC | B3 | 52 |198.75m2</t>
  </si>
  <si>
    <t>53BOSQUE 3</t>
  </si>
  <si>
    <t>PBC | B3 | 53 |196.19m2</t>
  </si>
  <si>
    <t>54BOSQUE 3</t>
  </si>
  <si>
    <t>PBC | B3 | 54 |160m2</t>
  </si>
  <si>
    <t>55BOSQUE 3</t>
  </si>
  <si>
    <t>PBC | B3 | 55 |160m2</t>
  </si>
  <si>
    <t>56BOSQUE 3</t>
  </si>
  <si>
    <t>PBC | B3 | 56 |160m2</t>
  </si>
  <si>
    <t>57BOSQUE 3</t>
  </si>
  <si>
    <t>PBC | B3 | 57 |160m2</t>
  </si>
  <si>
    <t>58BOSQUE 3</t>
  </si>
  <si>
    <t>PBC | B3 | 58 |160m2</t>
  </si>
  <si>
    <t>59BOSQUE 3</t>
  </si>
  <si>
    <t>PBC | B3 | 59 |160m2</t>
  </si>
  <si>
    <t>60BOSQUE 3</t>
  </si>
  <si>
    <t>PBC | B3 | 60 |160m2</t>
  </si>
  <si>
    <t>61BOSQUE 3</t>
  </si>
  <si>
    <t>PBC | B3 | 61 |160m2</t>
  </si>
  <si>
    <t>62BOSQUE 3</t>
  </si>
  <si>
    <t>PBC | B3 | 62 |160m2</t>
  </si>
  <si>
    <t>63BOSQUE 3</t>
  </si>
  <si>
    <t>PBC | B3 | 63 |160m2</t>
  </si>
  <si>
    <t>64BOSQUE 3</t>
  </si>
  <si>
    <t>PBC | B3 | 64 |160m2</t>
  </si>
  <si>
    <t>65BOSQUE 3</t>
  </si>
  <si>
    <t>PBC | B3 | 65 |160m2</t>
  </si>
  <si>
    <t>66BOSQUE 3</t>
  </si>
  <si>
    <t>PBC | B3 | 66 |160m2</t>
  </si>
  <si>
    <t>67BOSQUE 3</t>
  </si>
  <si>
    <t>PBC | B3 | 67 |160m2</t>
  </si>
  <si>
    <t>68BOSQUE 3</t>
  </si>
  <si>
    <t>PBC | B3 | 68 |160m2</t>
  </si>
  <si>
    <t>69BOSQUE 3</t>
  </si>
  <si>
    <t>PBC | B3 | 69 |180m2</t>
  </si>
  <si>
    <t>70BOSQUE 3</t>
  </si>
  <si>
    <t>PBC | B3 | 70 |180m2</t>
  </si>
  <si>
    <t>71BOSQUE 3</t>
  </si>
  <si>
    <t>PBC | B3 | 71 |180m2</t>
  </si>
  <si>
    <t>72BOSQUE 3</t>
  </si>
  <si>
    <t>PBC | B3 | 72 |202.5m2</t>
  </si>
  <si>
    <t>73BOSQUE 3</t>
  </si>
  <si>
    <t>PBC | B3 | 73 |180m2</t>
  </si>
  <si>
    <t>74BOSQUE 3</t>
  </si>
  <si>
    <t>PBC | B3 | 74 |180m2</t>
  </si>
  <si>
    <t>75BOSQUE 3</t>
  </si>
  <si>
    <t>PBC | B3 | 75 |180m2</t>
  </si>
  <si>
    <t>76BOSQUE 3</t>
  </si>
  <si>
    <t>PBC | B3 | 76 |180m2</t>
  </si>
  <si>
    <t>77BOSQUE 3</t>
  </si>
  <si>
    <t>PBC | B3 | 77 |180m2</t>
  </si>
  <si>
    <t>78BOSQUE 3</t>
  </si>
  <si>
    <t>PBC | B3 | 78 |180m2</t>
  </si>
  <si>
    <t>79BOSQUE 3</t>
  </si>
  <si>
    <t>PBC | B3 | 79 |202.5m2</t>
  </si>
  <si>
    <t>80BOSQUE 3</t>
  </si>
  <si>
    <t>PBC | B3 | 80 |207.68m2</t>
  </si>
  <si>
    <t>81BOSQUE 3</t>
  </si>
  <si>
    <t>PBC | B3 | 81 |207.68m2</t>
  </si>
  <si>
    <t>82BOSQUE 3</t>
  </si>
  <si>
    <t>PBC | B3 | 82 |202.5m2</t>
  </si>
  <si>
    <t>83BOSQUE 3</t>
  </si>
  <si>
    <t>PBC | B3 | 83 |180m2</t>
  </si>
  <si>
    <t>84BOSQUE 3</t>
  </si>
  <si>
    <t>PBC | B3 | 84 |180m2</t>
  </si>
  <si>
    <t>85BOSQUE 3</t>
  </si>
  <si>
    <t>PBC | B3 | 85 |180m2</t>
  </si>
  <si>
    <t>86BOSQUE 3</t>
  </si>
  <si>
    <t>PBC | B3 | 86 |180m2</t>
  </si>
  <si>
    <t>87BOSQUE 3</t>
  </si>
  <si>
    <t>PBC | B3 | 87 |180m2</t>
  </si>
  <si>
    <t>88BOSQUE 3</t>
  </si>
  <si>
    <t>PBC | B3 | 88 |180m2</t>
  </si>
  <si>
    <t>89BOSQUE 3</t>
  </si>
  <si>
    <t>PBC | B3 | 89 |202.5m2</t>
  </si>
  <si>
    <t>90BOSQUE 3</t>
  </si>
  <si>
    <t>PBC | B3 | 90 |176.8m2</t>
  </si>
  <si>
    <t>91BOSQUE 3</t>
  </si>
  <si>
    <t>PBC | B3 | 91 |176.8m2</t>
  </si>
  <si>
    <t>92BOSQUE 3</t>
  </si>
  <si>
    <t>PBC | B3 | 92 |176.8m2</t>
  </si>
  <si>
    <t>93BOSQUE 3</t>
  </si>
  <si>
    <t>PBC | B3 | 93 |176.8m2</t>
  </si>
  <si>
    <t>94BOSQUE 3</t>
  </si>
  <si>
    <t>PBC | B3 | 94 |200m2</t>
  </si>
  <si>
    <t>95BOSQUE 3</t>
  </si>
  <si>
    <t>PBC | B3 | 95 |200m2</t>
  </si>
  <si>
    <t>96BOSQUE 3</t>
  </si>
  <si>
    <t>PBC | B3 | 96 |225m2</t>
  </si>
  <si>
    <t>97BOSQUE 3</t>
  </si>
  <si>
    <t>PBC | B3 | 97 |225m2</t>
  </si>
  <si>
    <t>98BOSQUE 3</t>
  </si>
  <si>
    <t>PBC | B3 | 98 |230.75m2</t>
  </si>
  <si>
    <t>99BOSQUE 3</t>
  </si>
  <si>
    <t>PBC | B3 | 99 |176.8m2</t>
  </si>
  <si>
    <t>100BOSQUE 3</t>
  </si>
  <si>
    <t>PBC | B3 | 100 |176.8m2</t>
  </si>
  <si>
    <t>101BOSQUE 3</t>
  </si>
  <si>
    <t>PBC | B3 | 101 |176.8m2</t>
  </si>
  <si>
    <t>102BOSQUE 3</t>
  </si>
  <si>
    <t>PBC | B3 | 102 |176.8m2</t>
  </si>
  <si>
    <t>103BOSQUE 3</t>
  </si>
  <si>
    <t>PBC | B3 | 103 |248.43m2</t>
  </si>
  <si>
    <t>104BOSQUE 3</t>
  </si>
  <si>
    <t>PBC | B3 | 104 |200m2</t>
  </si>
  <si>
    <t>105BOSQUE 3</t>
  </si>
  <si>
    <t>PBC | B3 | 105 |200m2</t>
  </si>
  <si>
    <t>106BOSQUE 3</t>
  </si>
  <si>
    <t>PBC | B3 | 106 |200m2</t>
  </si>
  <si>
    <t>107BOSQUE 3</t>
  </si>
  <si>
    <t>PBC | B3 | 107 |248.43m2</t>
  </si>
  <si>
    <t>108BOSQUE 3</t>
  </si>
  <si>
    <t>PBC | B3 | 108 |223.59m2</t>
  </si>
  <si>
    <t>109BOSQUE 3</t>
  </si>
  <si>
    <t>PBC | B3 | 109 |180m2</t>
  </si>
  <si>
    <t>110BOSQUE 3</t>
  </si>
  <si>
    <t>PBC | B3 | 110 |180m2</t>
  </si>
  <si>
    <t>111BOSQUE 3</t>
  </si>
  <si>
    <t>PBC | B3 | 111 |180m2</t>
  </si>
  <si>
    <t>112BOSQUE 3</t>
  </si>
  <si>
    <t>PBC | B3 | 112 |223.59m2</t>
  </si>
  <si>
    <t>1BOSQUE 4</t>
  </si>
  <si>
    <t>PBC | B4 | 1 |200m2</t>
  </si>
  <si>
    <t>2BOSQUE 4</t>
  </si>
  <si>
    <t>PBC | B4 | 2 |200m2</t>
  </si>
  <si>
    <t>3BOSQUE 4</t>
  </si>
  <si>
    <t>PBC | B4 | 3 |200m2</t>
  </si>
  <si>
    <t>4BOSQUE 4</t>
  </si>
  <si>
    <t>PBC | B4 | 4 |200m2</t>
  </si>
  <si>
    <t>5BOSQUE 4</t>
  </si>
  <si>
    <t>PBC | B4 | 5 |200m2</t>
  </si>
  <si>
    <t>6BOSQUE 4</t>
  </si>
  <si>
    <t>PBC | B4 | 6 |200m2</t>
  </si>
  <si>
    <t>7BOSQUE 4</t>
  </si>
  <si>
    <t>PBC | B4 | 7 |200m2</t>
  </si>
  <si>
    <t>8BOSQUE 4</t>
  </si>
  <si>
    <t>PBC | B4 | 8 |200m2</t>
  </si>
  <si>
    <t>9BOSQUE 4</t>
  </si>
  <si>
    <t>PBC | B4 | 9 |200m2</t>
  </si>
  <si>
    <t>10BOSQUE 4</t>
  </si>
  <si>
    <t>PBC | B4 | 10 |200m2</t>
  </si>
  <si>
    <t>11BOSQUE 4</t>
  </si>
  <si>
    <t>PBC | B4 | 11 |200m2</t>
  </si>
  <si>
    <t>12BOSQUE 4</t>
  </si>
  <si>
    <t>PBC | B4 | 12 |200m2</t>
  </si>
  <si>
    <t>13BOSQUE 4</t>
  </si>
  <si>
    <t>PBC | B4 | 13 |200m2</t>
  </si>
  <si>
    <t>14BOSQUE 4</t>
  </si>
  <si>
    <t>PBC | B4 | 14 |200m2</t>
  </si>
  <si>
    <t>15BOSQUE 4</t>
  </si>
  <si>
    <t>PBC | B4 | 15 |428.57m2</t>
  </si>
  <si>
    <t>16BOSQUE 4</t>
  </si>
  <si>
    <t>PBC | B4 | 16 |271.57m2</t>
  </si>
  <si>
    <t>17BOSQUE 4</t>
  </si>
  <si>
    <t>PBC | B4 | 17 |250m2</t>
  </si>
  <si>
    <t>18BOSQUE 4</t>
  </si>
  <si>
    <t>PBC | B4 | 18 |250m2</t>
  </si>
  <si>
    <t>19BOSQUE 4</t>
  </si>
  <si>
    <t>PBC | B4 | 19 |250m2</t>
  </si>
  <si>
    <t>20BOSQUE 4</t>
  </si>
  <si>
    <t>PBC | B4 | 20 |250m2</t>
  </si>
  <si>
    <t>21BOSQUE 4</t>
  </si>
  <si>
    <t>PBC | B4 | 21 |250m2</t>
  </si>
  <si>
    <t>22BOSQUE 4</t>
  </si>
  <si>
    <t>PBC | B4 | 22 |250m2</t>
  </si>
  <si>
    <t>23BOSQUE 4</t>
  </si>
  <si>
    <t>PBC | B4 | 23 |271.46m2</t>
  </si>
  <si>
    <t>24BOSQUE 4</t>
  </si>
  <si>
    <t>PBC | B4 | 24 |401.73m2</t>
  </si>
  <si>
    <t>25BOSQUE 4</t>
  </si>
  <si>
    <t>PBC | B4 | 25 |250m2</t>
  </si>
  <si>
    <t>26BOSQUE 4</t>
  </si>
  <si>
    <t>PBC | B4 | 26 |250m2</t>
  </si>
  <si>
    <t>27BOSQUE 4</t>
  </si>
  <si>
    <t>PBC | B4 | 27 |250m2</t>
  </si>
  <si>
    <t>28BOSQUE 4</t>
  </si>
  <si>
    <t>PBC | B4 | 28 |250m2</t>
  </si>
  <si>
    <t>29BOSQUE 4</t>
  </si>
  <si>
    <t>PBC | B4 | 29 |250m2</t>
  </si>
  <si>
    <t>30BOSQUE 4</t>
  </si>
  <si>
    <t>PBC | B4 | 30 |250m2</t>
  </si>
  <si>
    <t>31BOSQUE 4</t>
  </si>
  <si>
    <t>PBC | B4 | 31 |250m2</t>
  </si>
  <si>
    <t>32BOSQUE 4</t>
  </si>
  <si>
    <t>PBC | B4 | 32 |250m2</t>
  </si>
  <si>
    <t>33BOSQUE 4</t>
  </si>
  <si>
    <t>PBC | B4 | 33 |280.94m2</t>
  </si>
  <si>
    <t>34BOSQUE 4</t>
  </si>
  <si>
    <t>PBC | B4 | 34 |358.3m2</t>
  </si>
  <si>
    <t>35BOSQUE 4</t>
  </si>
  <si>
    <t>PBC | B4 | 35 |300m2</t>
  </si>
  <si>
    <t>36BOSQUE 4</t>
  </si>
  <si>
    <t>PBC | B4 | 36 |300m2</t>
  </si>
  <si>
    <t>37BOSQUE 4</t>
  </si>
  <si>
    <t>PBC | B4 | 37 |300m2</t>
  </si>
  <si>
    <t>38BOSQUE 4</t>
  </si>
  <si>
    <t>PBC | B4 | 38 |300m2</t>
  </si>
  <si>
    <t>39BOSQUE 4</t>
  </si>
  <si>
    <t>PBC | B4 | 39 |300m2</t>
  </si>
  <si>
    <t>40BOSQUE 4</t>
  </si>
  <si>
    <t>PBC | B4 | 40 |300m2</t>
  </si>
  <si>
    <t>41BOSQUE 4</t>
  </si>
  <si>
    <t>PBC | B4 | 41 |300m2</t>
  </si>
  <si>
    <t>42BOSQUE 4</t>
  </si>
  <si>
    <t>PBC | B4 | 42 |220m2</t>
  </si>
  <si>
    <t>43BOSQUE 4</t>
  </si>
  <si>
    <t>PBC | B4 | 43 |200m2</t>
  </si>
  <si>
    <t>44BOSQUE 4</t>
  </si>
  <si>
    <t>PBC | B4 | 44 |200m2</t>
  </si>
  <si>
    <t>45BOSQUE 4</t>
  </si>
  <si>
    <t>PBC | B4 | 45 |200m2</t>
  </si>
  <si>
    <t>46BOSQUE 4</t>
  </si>
  <si>
    <t>PBC | B4 | 46 |200m2</t>
  </si>
  <si>
    <t>47BOSQUE 4</t>
  </si>
  <si>
    <t>PBC | B4 | 47 |200m2</t>
  </si>
  <si>
    <t>48BOSQUE 4</t>
  </si>
  <si>
    <t>PBC | B4 | 48 |200m2</t>
  </si>
  <si>
    <t>49BOSQUE 4</t>
  </si>
  <si>
    <t>PBC | B4 | 49 |212.8m2</t>
  </si>
  <si>
    <t>50BOSQUE 4</t>
  </si>
  <si>
    <t>PBC | B4 | 50 |197.29m2</t>
  </si>
  <si>
    <t>51BOSQUE 4</t>
  </si>
  <si>
    <t>PBC | B4 | 51 |180m2</t>
  </si>
  <si>
    <t>52BOSQUE 4</t>
  </si>
  <si>
    <t>PBC | B4 | 52 |200m2</t>
  </si>
  <si>
    <t>53BOSQUE 4</t>
  </si>
  <si>
    <t>PBC | B4 | 53 |200m2</t>
  </si>
  <si>
    <t>54BOSQUE 4</t>
  </si>
  <si>
    <t>PBC | B4 | 54 |200m2</t>
  </si>
  <si>
    <t>55BOSQUE 4</t>
  </si>
  <si>
    <t>PBC | B4 | 55 |200m2</t>
  </si>
  <si>
    <t>56BOSQUE 4</t>
  </si>
  <si>
    <t>PBC | B4 | 56 |200m2</t>
  </si>
  <si>
    <t>1LAGO 1</t>
  </si>
  <si>
    <t>PBC | L1 | 1 |129.92m2</t>
  </si>
  <si>
    <t>2LAGO 1</t>
  </si>
  <si>
    <t>PBC | L1 | 2 |129.92m2</t>
  </si>
  <si>
    <t>3LAGO 1</t>
  </si>
  <si>
    <t>PBC | L1 | 3 |129.92m2</t>
  </si>
  <si>
    <t>4LAGO 1</t>
  </si>
  <si>
    <t>PBC | L1 | 4 |129.92m2</t>
  </si>
  <si>
    <t>5LAGO 1</t>
  </si>
  <si>
    <t>PBC | L1 | 5 |129.53m2</t>
  </si>
  <si>
    <t>6LAGO 1</t>
  </si>
  <si>
    <t>PBC | L1 | 6 |155.47m2</t>
  </si>
  <si>
    <t>7LAGO 1</t>
  </si>
  <si>
    <t>PBC | L1 | 7 |163.02m2</t>
  </si>
  <si>
    <t>8LAGO 1</t>
  </si>
  <si>
    <t>PBC | L1 | 8 |144m2</t>
  </si>
  <si>
    <t>9LAGO 1</t>
  </si>
  <si>
    <t>PBC | L1 | 9 |144m2</t>
  </si>
  <si>
    <t>10LAGO 1</t>
  </si>
  <si>
    <t>PBC | L1 | 10 |144m2</t>
  </si>
  <si>
    <t>11LAGO 1</t>
  </si>
  <si>
    <t>PBC | L1 | 11 |144m2</t>
  </si>
  <si>
    <t>12LAGO 1</t>
  </si>
  <si>
    <t>PBC | L1 | 12 |144m2</t>
  </si>
  <si>
    <t>13LAGO 1</t>
  </si>
  <si>
    <t>PBC | L1 | 13 |128m2</t>
  </si>
  <si>
    <t>14LAGO 1</t>
  </si>
  <si>
    <t>PBC | L1 | 14 |128m2</t>
  </si>
  <si>
    <t>15LAGO 1</t>
  </si>
  <si>
    <t>PBC | L1 | 15 |128m2</t>
  </si>
  <si>
    <t>16LAGO 1</t>
  </si>
  <si>
    <t>PBC | L1 | 16 |128m2</t>
  </si>
  <si>
    <t>17LAGO 1</t>
  </si>
  <si>
    <t>PBC | L1 | 17 |128m2</t>
  </si>
  <si>
    <t>18LAGO 1</t>
  </si>
  <si>
    <t>PBC | L1 | 18 |128m2</t>
  </si>
  <si>
    <t>19LAGO 1</t>
  </si>
  <si>
    <t>PBC | L1 | 19 |128m2</t>
  </si>
  <si>
    <t>20LAGO 1</t>
  </si>
  <si>
    <t>PBC | L1 | 20 |128m2</t>
  </si>
  <si>
    <t>21LAGO 1</t>
  </si>
  <si>
    <t>PBC | L1 | 21 |128m2</t>
  </si>
  <si>
    <t>22LAGO 1</t>
  </si>
  <si>
    <t>PBC | L1 | 22 |128m2</t>
  </si>
  <si>
    <t>23LAGO 1</t>
  </si>
  <si>
    <t>PBC | L1 | 23 |128m2</t>
  </si>
  <si>
    <t>24LAGO 1</t>
  </si>
  <si>
    <t>PBC | L1 | 24 |128m2</t>
  </si>
  <si>
    <t>25LAGO 1</t>
  </si>
  <si>
    <t>PBC | L1 | 25 |128m2</t>
  </si>
  <si>
    <t>26LAGO 1</t>
  </si>
  <si>
    <t>PBC | L1 | 26 |128m2</t>
  </si>
  <si>
    <t>27LAGO 1</t>
  </si>
  <si>
    <t>PBC | L1 | 27 |128m2</t>
  </si>
  <si>
    <t>28LAGO 1</t>
  </si>
  <si>
    <t>PBC | L1 | 28 |128m2</t>
  </si>
  <si>
    <t>29LAGO 1</t>
  </si>
  <si>
    <t>PBC | L1 | 29 |128m2</t>
  </si>
  <si>
    <t>30LAGO 1</t>
  </si>
  <si>
    <t>PBC | L1 | 30 |128m2</t>
  </si>
  <si>
    <t>31LAGO 1</t>
  </si>
  <si>
    <t>PBC | L1 | 31 |128m2</t>
  </si>
  <si>
    <t>32LAGO 1</t>
  </si>
  <si>
    <t>PBC | L1 | 32 |128m2</t>
  </si>
  <si>
    <t>33LAGO 1</t>
  </si>
  <si>
    <t>PBC | L1 | 33 |128m2</t>
  </si>
  <si>
    <t>34LAGO 1</t>
  </si>
  <si>
    <t>PBC | L1 | 34 |144m2</t>
  </si>
  <si>
    <t>35LAGO 1</t>
  </si>
  <si>
    <t>PBC | L1 | 35 |128m2</t>
  </si>
  <si>
    <t>36LAGO 1</t>
  </si>
  <si>
    <t>PBC | L1 | 36 |128m2</t>
  </si>
  <si>
    <t>37LAGO 1</t>
  </si>
  <si>
    <t>PBC | L1 | 37 |128m2</t>
  </si>
  <si>
    <t>38LAGO 1</t>
  </si>
  <si>
    <t>PBC | L1 | 38 |128m2</t>
  </si>
  <si>
    <t>39LAGO 1</t>
  </si>
  <si>
    <t>PBC | L1 | 39 |128m2</t>
  </si>
  <si>
    <t>40LAGO 1</t>
  </si>
  <si>
    <t>PBC | L1 | 40 |128m2</t>
  </si>
  <si>
    <t>41LAGO 1</t>
  </si>
  <si>
    <t>PBC | L1 | 41 |128m2</t>
  </si>
  <si>
    <t>42LAGO 1</t>
  </si>
  <si>
    <t>PBC | L1 | 42 |128m2</t>
  </si>
  <si>
    <t>43LAGO 1</t>
  </si>
  <si>
    <t>PBC | L1 | 43 |128m2</t>
  </si>
  <si>
    <t>44LAGO 1</t>
  </si>
  <si>
    <t>PBC | L1 | 44 |128m2</t>
  </si>
  <si>
    <t>45LAGO 1</t>
  </si>
  <si>
    <t>PBC | L1 | 45 |187.4m2</t>
  </si>
  <si>
    <t>46LAGO 1</t>
  </si>
  <si>
    <t>PBC | L1 | 46 |157.5m2</t>
  </si>
  <si>
    <t>47LAGO 1</t>
  </si>
  <si>
    <t>PBC | L1 | 47 |157.5m2</t>
  </si>
  <si>
    <t>48LAGO 1</t>
  </si>
  <si>
    <t>PBC | L1 | 48 |157.5m2</t>
  </si>
  <si>
    <t>49LAGO 1</t>
  </si>
  <si>
    <t>PBC | L1 | 49 |157.5m2</t>
  </si>
  <si>
    <t>50LAGO 1</t>
  </si>
  <si>
    <t>PBC | L1 | 50 |140m2</t>
  </si>
  <si>
    <t>51LAGO 1</t>
  </si>
  <si>
    <t>PBC | L1 | 51 |140m2</t>
  </si>
  <si>
    <t>52LAGO 1</t>
  </si>
  <si>
    <t>PBC | L1 | 52 |140m2</t>
  </si>
  <si>
    <t>53LAGO 1</t>
  </si>
  <si>
    <t>PBC | L1 | 53 |140m2</t>
  </si>
  <si>
    <t>54LAGO 1</t>
  </si>
  <si>
    <t>PBC | L1 | 54 |140m2</t>
  </si>
  <si>
    <t>55LAGO 1</t>
  </si>
  <si>
    <t>PBC | L1 | 55 |140m2</t>
  </si>
  <si>
    <t>56LAGO 1</t>
  </si>
  <si>
    <t>PBC | L1 | 56 |140m2</t>
  </si>
  <si>
    <t>57LAGO 1</t>
  </si>
  <si>
    <t>PBC | L1 | 57 |140m2</t>
  </si>
  <si>
    <t>58LAGO 1</t>
  </si>
  <si>
    <t>PBC | L1 | 58 |140m2</t>
  </si>
  <si>
    <t>59LAGO 1</t>
  </si>
  <si>
    <t>PBC | L1 | 59 |140m2</t>
  </si>
  <si>
    <t>60LAGO 1</t>
  </si>
  <si>
    <t>PBC | L1 | 60 |140m2</t>
  </si>
  <si>
    <t>61LAGO 1</t>
  </si>
  <si>
    <t>PBC | L1 | 61 |140m2</t>
  </si>
  <si>
    <t>62LAGO 1</t>
  </si>
  <si>
    <t>PBC | L1 | 62 |140m2</t>
  </si>
  <si>
    <t>63LAGO 1</t>
  </si>
  <si>
    <t>PBC | L1 | 63 |140m2</t>
  </si>
  <si>
    <t>64LAGO 1</t>
  </si>
  <si>
    <t>PBC | L1 | 64 |140m2</t>
  </si>
  <si>
    <t>65LAGO 1</t>
  </si>
  <si>
    <t>PBC | L1 | 65 |140m2</t>
  </si>
  <si>
    <t>66LAGO 1</t>
  </si>
  <si>
    <t>PBC | L1 | 66 |140m2</t>
  </si>
  <si>
    <t>67LAGO 1</t>
  </si>
  <si>
    <t>PBC | L1 | 67 |140m2</t>
  </si>
  <si>
    <t>68LAGO 1</t>
  </si>
  <si>
    <t>PBC | L1 | 68 |140m2</t>
  </si>
  <si>
    <t>69LAGO 1</t>
  </si>
  <si>
    <t>PBC | L1 | 69 |142.62m2</t>
  </si>
  <si>
    <t>70LAGO 1</t>
  </si>
  <si>
    <t>PBC | L1 | 70 |157.85m2</t>
  </si>
  <si>
    <t>71LAGO 1</t>
  </si>
  <si>
    <t>PBC | L1 | 71 |140m2</t>
  </si>
  <si>
    <t>72LAGO 1</t>
  </si>
  <si>
    <t>PBC | L1 | 72 |140m2</t>
  </si>
  <si>
    <t>73LAGO 1</t>
  </si>
  <si>
    <t>PBC | L1 | 73 |140m2</t>
  </si>
  <si>
    <t>74LAGO 1</t>
  </si>
  <si>
    <t>PBC | L1 | 74 |140m2</t>
  </si>
  <si>
    <t>75LAGO 1</t>
  </si>
  <si>
    <t>PBC | L1 | 75 |152.2m2</t>
  </si>
  <si>
    <t>76LAGO 1</t>
  </si>
  <si>
    <t>PBC | L1 | 76 |169.04m2</t>
  </si>
  <si>
    <t>77LAGO 1</t>
  </si>
  <si>
    <t>PBC | L1 | 77 |160m2</t>
  </si>
  <si>
    <t>78LAGO 1</t>
  </si>
  <si>
    <t>PBC | L1 | 78 |160m2</t>
  </si>
  <si>
    <t>79LAGO 1</t>
  </si>
  <si>
    <t>PBC | L1 | 79 |160m2</t>
  </si>
  <si>
    <t>80LAGO 1</t>
  </si>
  <si>
    <t>PBC | L1 | 80 |160m2</t>
  </si>
  <si>
    <t>81LAGO 1</t>
  </si>
  <si>
    <t>PBC | L1 | 81 |160m2</t>
  </si>
  <si>
    <t>82LAGO 1</t>
  </si>
  <si>
    <t>PBC | L1 | 82 |163m2</t>
  </si>
  <si>
    <t>83LAGO 1</t>
  </si>
  <si>
    <t>PBC | L1 | 83 |160m2</t>
  </si>
  <si>
    <t>84LAGO 1</t>
  </si>
  <si>
    <t>PBC | L1 | 84 |160m2</t>
  </si>
  <si>
    <t>85LAGO 1</t>
  </si>
  <si>
    <t>PBC | L1 | 85 |160m2</t>
  </si>
  <si>
    <t>86LAGO 1</t>
  </si>
  <si>
    <t>PBC | L1 | 86 |160m2</t>
  </si>
  <si>
    <t>87LAGO 1</t>
  </si>
  <si>
    <t>PBC | L1 | 87 |160m2</t>
  </si>
  <si>
    <t>88LAGO 1</t>
  </si>
  <si>
    <t>PBC | L1 | 88 |160m2</t>
  </si>
  <si>
    <t>89LAGO 1</t>
  </si>
  <si>
    <t>PBC | L1 | 89 |128m2</t>
  </si>
  <si>
    <t>90LAGO 1</t>
  </si>
  <si>
    <t>PBC | L1 | 90 |128m2</t>
  </si>
  <si>
    <t>91LAGO 1</t>
  </si>
  <si>
    <t>PBC | L1 | 91 |128m2</t>
  </si>
  <si>
    <t>92LAGO 1</t>
  </si>
  <si>
    <t>PBC | L1 | 92 |128m2</t>
  </si>
  <si>
    <t>93LAGO 1</t>
  </si>
  <si>
    <t>PBC | L1 | 93 |128m2</t>
  </si>
  <si>
    <t>94LAGO 1</t>
  </si>
  <si>
    <t>PBC | L1 | 94 |128m2</t>
  </si>
  <si>
    <t>95LAGO 1</t>
  </si>
  <si>
    <t>PBC | L1 | 95 |128m2</t>
  </si>
  <si>
    <t>96LAGO 1</t>
  </si>
  <si>
    <t>PBC | L1 | 96 |128m2</t>
  </si>
  <si>
    <t>97LAGO 1</t>
  </si>
  <si>
    <t>PBC | L1 | 97 |144m2</t>
  </si>
  <si>
    <t>98LAGO 1</t>
  </si>
  <si>
    <t>PBC | L1 | 98 |144m2</t>
  </si>
  <si>
    <t>99LAGO 1</t>
  </si>
  <si>
    <t>PBC | L1 | 99 |144m2</t>
  </si>
  <si>
    <t>100LAGO 1</t>
  </si>
  <si>
    <t>PBC | L1 | 100 |128m2</t>
  </si>
  <si>
    <t>101LAGO 1</t>
  </si>
  <si>
    <t>PBC | L1 | 101 |128m2</t>
  </si>
  <si>
    <t>102LAGO 1</t>
  </si>
  <si>
    <t>PBC | L1 | 102 |128m2</t>
  </si>
  <si>
    <t>103LAGO 1</t>
  </si>
  <si>
    <t>PBC | L1 | 103 |128m2</t>
  </si>
  <si>
    <t>104LAGO 1</t>
  </si>
  <si>
    <t>PBC | L1 | 104 |128m2</t>
  </si>
  <si>
    <t>105LAGO 1</t>
  </si>
  <si>
    <t>PBC | L1 | 105 |128m2</t>
  </si>
  <si>
    <t>106LAGO 1</t>
  </si>
  <si>
    <t>PBC | L1 | 106 |128m2</t>
  </si>
  <si>
    <t>107LAGO 1</t>
  </si>
  <si>
    <t>PBC | L1 | 107 |133.85m2</t>
  </si>
  <si>
    <t>108LAGO 1</t>
  </si>
  <si>
    <t>PBC | L1 | 108 |128.3m2</t>
  </si>
  <si>
    <t>109LAGO 1</t>
  </si>
  <si>
    <t>PBC | L1 | 109 |129.92m2</t>
  </si>
  <si>
    <t>110LAGO 1</t>
  </si>
  <si>
    <t>PBC | L1 | 110 |129.92m2</t>
  </si>
  <si>
    <t>111LAGO 1</t>
  </si>
  <si>
    <t>PBC | L1 | 111 |129.92m2</t>
  </si>
  <si>
    <t>112LAGO 1</t>
  </si>
  <si>
    <t>PBC | L1 | 112 |129.92m2</t>
  </si>
  <si>
    <t>113LAGO 1</t>
  </si>
  <si>
    <t>PBC | L1 | 113 |129.92m2</t>
  </si>
  <si>
    <t>1MANGLAR 1</t>
  </si>
  <si>
    <t>PBC | M1 | 1 |202.69m2</t>
  </si>
  <si>
    <t>2MANGLAR 1</t>
  </si>
  <si>
    <t>PBC | M1 | 2 |202.69m2</t>
  </si>
  <si>
    <t>3MANGLAR 1</t>
  </si>
  <si>
    <t>PBC | M1 | 3 |219.98m2</t>
  </si>
  <si>
    <t>4MANGLAR 1</t>
  </si>
  <si>
    <t>PBC | M1 | 4 |233.57m2</t>
  </si>
  <si>
    <t>5MANGLAR 1</t>
  </si>
  <si>
    <t>PBC | M1 | 5 |220m2</t>
  </si>
  <si>
    <t>6MANGLAR 1</t>
  </si>
  <si>
    <t>PBC | M1 | 6 |220m2</t>
  </si>
  <si>
    <t>7MANGLAR 1</t>
  </si>
  <si>
    <t>PBC | M1 | 7 |220m2</t>
  </si>
  <si>
    <t>8MANGLAR 1</t>
  </si>
  <si>
    <t>PBC | M1 | 8 |220m2</t>
  </si>
  <si>
    <t>9MANGLAR 1</t>
  </si>
  <si>
    <t>PBC | M1 | 9 |220m2</t>
  </si>
  <si>
    <t>10MANGLAR 1</t>
  </si>
  <si>
    <t>PBC | M1 | 10 |200m2</t>
  </si>
  <si>
    <t>11MANGLAR 1</t>
  </si>
  <si>
    <t>PBC | M1 | 11 |200m2</t>
  </si>
  <si>
    <t>12MANGLAR 1</t>
  </si>
  <si>
    <t>PBC | M1 | 12 |200m2</t>
  </si>
  <si>
    <t>13MANGLAR 1</t>
  </si>
  <si>
    <t>PBC | M1 | 13 |200m2</t>
  </si>
  <si>
    <t>14MANGLAR 1</t>
  </si>
  <si>
    <t>PBC | M1 | 14 |200m2</t>
  </si>
  <si>
    <t>15MANGLAR 1</t>
  </si>
  <si>
    <t>PBC | M1 | 15 |200m2</t>
  </si>
  <si>
    <t>16MANGLAR 1</t>
  </si>
  <si>
    <t>PBC | M1 | 16 |200m2</t>
  </si>
  <si>
    <t>17MANGLAR 1</t>
  </si>
  <si>
    <t>PBC | M1 | 17 |200m2</t>
  </si>
  <si>
    <t>18MANGLAR 1</t>
  </si>
  <si>
    <t>PBC | M1 | 18 |200m2</t>
  </si>
  <si>
    <t>19MANGLAR 1</t>
  </si>
  <si>
    <t>PBC | M1 | 19 |200m2</t>
  </si>
  <si>
    <t>20MANGLAR 1</t>
  </si>
  <si>
    <t>PBC | M1 | 20 |236.26m2</t>
  </si>
  <si>
    <t>21MANGLAR 1</t>
  </si>
  <si>
    <t>PBC | M1 | 21 |220m2</t>
  </si>
  <si>
    <t>22MANGLAR 1</t>
  </si>
  <si>
    <t>PBC | M1 | 22 |220m2</t>
  </si>
  <si>
    <t>23MANGLAR 1</t>
  </si>
  <si>
    <t>PBC | M1 | 23 |220m2</t>
  </si>
  <si>
    <t>24MANGLAR 1</t>
  </si>
  <si>
    <t>PBC | M1 | 24 |240m2</t>
  </si>
  <si>
    <t>25MANGLAR 1</t>
  </si>
  <si>
    <t>PBC | M1 | 25 |240m2</t>
  </si>
  <si>
    <t>26MANGLAR 1</t>
  </si>
  <si>
    <t>PBC | M1 | 26 |240m2</t>
  </si>
  <si>
    <t>27MANGLAR 1</t>
  </si>
  <si>
    <t>PBC | M1 | 27 |360.67m2</t>
  </si>
  <si>
    <t>28MANGLAR 1</t>
  </si>
  <si>
    <t>PBC | M1 | 28 |577.03m2</t>
  </si>
  <si>
    <t>29MANGLAR 1</t>
  </si>
  <si>
    <t>PBC | M1 | 29 |269.27m2</t>
  </si>
  <si>
    <t>30MANGLAR 1</t>
  </si>
  <si>
    <t>PBC | M1 | 30 |269.27m2</t>
  </si>
  <si>
    <t>31MANGLAR 1</t>
  </si>
  <si>
    <t>PBC | M1 | 31 |269.27m2</t>
  </si>
  <si>
    <t>32MANGLAR 1</t>
  </si>
  <si>
    <t>PBC | M1 | 32 |269.27m2</t>
  </si>
  <si>
    <t>33MANGLAR 1</t>
  </si>
  <si>
    <t>PBC | M1 | 33 |269.27m2</t>
  </si>
  <si>
    <t>34MANGLAR 1</t>
  </si>
  <si>
    <t>PBC | M1 | 34 |269.27m2</t>
  </si>
  <si>
    <t>35MANGLAR 1</t>
  </si>
  <si>
    <t>PBC | M1 | 35 |338.4m2</t>
  </si>
  <si>
    <t>36MANGLAR 1</t>
  </si>
  <si>
    <t>PBC | M1 | 36 |234.8m2</t>
  </si>
  <si>
    <t>37MANGLAR 1</t>
  </si>
  <si>
    <t>PBC | M1 | 37 |200m2</t>
  </si>
  <si>
    <t>38MANGLAR 1</t>
  </si>
  <si>
    <t>PBC | M1 | 38 |200m2</t>
  </si>
  <si>
    <t>39MANGLAR 1</t>
  </si>
  <si>
    <t>PBC | M1 | 39 |200m2</t>
  </si>
  <si>
    <t>40MANGLAR 1</t>
  </si>
  <si>
    <t>PBC | M1 | 40 |200m2</t>
  </si>
  <si>
    <t>41MANGLAR 1</t>
  </si>
  <si>
    <t>PBC | M1 | 41 |200m2</t>
  </si>
  <si>
    <t>42MANGLAR 1</t>
  </si>
  <si>
    <t>PBC | M1 | 42 |200m2</t>
  </si>
  <si>
    <t>43MANGLAR 1</t>
  </si>
  <si>
    <t>PBC | M1 | 43 |200m2</t>
  </si>
  <si>
    <t>44MANGLAR 1</t>
  </si>
  <si>
    <t>PBC | M1 | 44 |200m2</t>
  </si>
  <si>
    <t>45MANGLAR 1</t>
  </si>
  <si>
    <t>PBC | M1 | 45 |200m2</t>
  </si>
  <si>
    <t>46MANGLAR 1</t>
  </si>
  <si>
    <t>PBC | M1 | 46 |200m2</t>
  </si>
  <si>
    <t>47MANGLAR 1</t>
  </si>
  <si>
    <t>PBC | M1 | 47 |200m2</t>
  </si>
  <si>
    <t>48MANGLAR 1</t>
  </si>
  <si>
    <t>PBC | M1 | 48 |200m2</t>
  </si>
  <si>
    <t>49MANGLAR 1</t>
  </si>
  <si>
    <t>PBC | M1 | 49 |215.86m2</t>
  </si>
  <si>
    <t>50MANGLAR 1</t>
  </si>
  <si>
    <t>PBC | M1 | 50 |227.27m2</t>
  </si>
  <si>
    <t>51MANGLAR 1</t>
  </si>
  <si>
    <t>PBC | M1 | 51 |202.69m2</t>
  </si>
  <si>
    <t>52MANGLAR 1</t>
  </si>
  <si>
    <t>PBC | M1 | 52 |202.69m2</t>
  </si>
  <si>
    <t>53MANGLAR 1</t>
  </si>
  <si>
    <t>PBC | M1 | 53 |278.8m2</t>
  </si>
  <si>
    <t>54MANGLAR 1</t>
  </si>
  <si>
    <t>PBC | M1 | 54 |233.72m2</t>
  </si>
  <si>
    <t>55MANGLAR 1</t>
  </si>
  <si>
    <t>PBC | M1 | 55 |233.72m2</t>
  </si>
  <si>
    <t>56MANGLAR 1</t>
  </si>
  <si>
    <t>PBC | M1 | 56 |233.72m2</t>
  </si>
  <si>
    <t>57MANGLAR 1</t>
  </si>
  <si>
    <t>PBC | M1 | 57 |266.65m2</t>
  </si>
  <si>
    <t>58MANGLAR 1</t>
  </si>
  <si>
    <t>PBC | M1 | 58 |311.49m2</t>
  </si>
  <si>
    <t>59MANGLAR 1</t>
  </si>
  <si>
    <t>PBC | M1 | 59 |274.69m2</t>
  </si>
  <si>
    <t>60MANGLAR 1</t>
  </si>
  <si>
    <t>PBC | M1 | 60 |274.69m2</t>
  </si>
  <si>
    <t>61MANGLAR 1</t>
  </si>
  <si>
    <t>PBC | M1 | 61 |274.69m2</t>
  </si>
  <si>
    <t>62MANGLAR 1</t>
  </si>
  <si>
    <t>PBC | M1 | 62 |322.15m2</t>
  </si>
  <si>
    <t>63MANGLAR 1</t>
  </si>
  <si>
    <t>PBC | M1 | 63 |323.23m2</t>
  </si>
  <si>
    <t>64MANGLAR 1</t>
  </si>
  <si>
    <t>PBC | M1 | 64 |277.73m2</t>
  </si>
  <si>
    <t>65MANGLAR 1</t>
  </si>
  <si>
    <t>PBC | M1 | 65 |277.73m2</t>
  </si>
  <si>
    <t>66MANGLAR 1</t>
  </si>
  <si>
    <t>PBC | M1 | 66 |277.73m2</t>
  </si>
  <si>
    <t>67MANGLAR 1</t>
  </si>
  <si>
    <t>PBC | M1 | 67 |277.73m2</t>
  </si>
  <si>
    <t>68MANGLAR 1</t>
  </si>
  <si>
    <t>PBC | M1 | 68 |313.01m2</t>
  </si>
  <si>
    <t>69MANGLAR 1</t>
  </si>
  <si>
    <t>PBC | M1 | 69 |372.42m2</t>
  </si>
  <si>
    <t>70MANGLAR 1</t>
  </si>
  <si>
    <t>PBC | M1 | 70 |323.13m2</t>
  </si>
  <si>
    <t>71MANGLAR 1</t>
  </si>
  <si>
    <t>PBC | M1 | 71 |323.13m2</t>
  </si>
  <si>
    <t>72MANGLAR 1</t>
  </si>
  <si>
    <t>PBC | M1 | 72 |323.13m2</t>
  </si>
  <si>
    <t>73MANGLAR 1</t>
  </si>
  <si>
    <t>PBC | M1 | 73 |323.13m2</t>
  </si>
  <si>
    <t>74MANGLAR 1</t>
  </si>
  <si>
    <t>PBC | M1 | 74 |323.13m2</t>
  </si>
  <si>
    <t>75MANGLAR 1</t>
  </si>
  <si>
    <t>PBC | M1 | 75 |386.91m2</t>
  </si>
  <si>
    <t>76MANGLAR 1</t>
  </si>
  <si>
    <t>PBC | M1 | 76 |393.47m2</t>
  </si>
  <si>
    <t>77MANGLAR 1</t>
  </si>
  <si>
    <t>PBC | M1 | 77 |330m2</t>
  </si>
  <si>
    <t>78MANGLAR 1</t>
  </si>
  <si>
    <t>PBC | M1 | 78 |330m2</t>
  </si>
  <si>
    <t>79MANGLAR 1</t>
  </si>
  <si>
    <t>PBC | M1 | 79 |330m2</t>
  </si>
  <si>
    <t>1MANGLAR 2</t>
  </si>
  <si>
    <t>PBC | M2 | 1 |129.36m2</t>
  </si>
  <si>
    <t>2MANGLAR 2</t>
  </si>
  <si>
    <t>PBC | M2 | 2 |129.36m2</t>
  </si>
  <si>
    <t>3MANGLAR 2</t>
  </si>
  <si>
    <t>PBC | M2 | 3 |129.36m2</t>
  </si>
  <si>
    <t>4MANGLAR 2</t>
  </si>
  <si>
    <t>PBC | M2 | 4 |129.36m2</t>
  </si>
  <si>
    <t>5MANGLAR 2</t>
  </si>
  <si>
    <t>PBC | M2 | 5 |129.36m2</t>
  </si>
  <si>
    <t>6MANGLAR 2</t>
  </si>
  <si>
    <t>PBC | M2 | 6 |214.61m2</t>
  </si>
  <si>
    <t>7MANGLAR 2</t>
  </si>
  <si>
    <t>PBC | M2 | 7 |213.78m2</t>
  </si>
  <si>
    <t>8MANGLAR 2</t>
  </si>
  <si>
    <t>PBC | M2 | 8 |147.85m2</t>
  </si>
  <si>
    <t>9MANGLAR 2</t>
  </si>
  <si>
    <t>PBC | M2 | 9 |147.85m2</t>
  </si>
  <si>
    <t>10MANGLAR 2</t>
  </si>
  <si>
    <t>PBC | M2 | 10 |147.85m2</t>
  </si>
  <si>
    <t>11MANGLAR 2</t>
  </si>
  <si>
    <t>PBC | M2 | 11 |147.85m2</t>
  </si>
  <si>
    <t>12MANGLAR 2</t>
  </si>
  <si>
    <t>PBC | M2 | 12 |147.85m2</t>
  </si>
  <si>
    <t>13MANGLAR 2</t>
  </si>
  <si>
    <t>PBC | M2 | 13 |147.85m2</t>
  </si>
  <si>
    <t>14MANGLAR 2</t>
  </si>
  <si>
    <t>PBC | M2 | 14 |147.85m2</t>
  </si>
  <si>
    <t>15MANGLAR 2</t>
  </si>
  <si>
    <t>PBC | M2 | 15 |147.85m2</t>
  </si>
  <si>
    <t>16MANGLAR 2</t>
  </si>
  <si>
    <t>PBC | M2 | 16 |147.85m2</t>
  </si>
  <si>
    <t>17MANGLAR 2</t>
  </si>
  <si>
    <t>PBC | M2 | 17 |147.85m2</t>
  </si>
  <si>
    <t>18MANGLAR 2</t>
  </si>
  <si>
    <t>PBC | M2 | 18 |147.85m2</t>
  </si>
  <si>
    <t>19MANGLAR 2</t>
  </si>
  <si>
    <t>PBC | M2 | 19 |147.85m2</t>
  </si>
  <si>
    <t>20MANGLAR 2</t>
  </si>
  <si>
    <t>PBC | M2 | 20 |147.85m2</t>
  </si>
  <si>
    <t>21MANGLAR 2</t>
  </si>
  <si>
    <t>PBC | M2 | 21 |147.87m2</t>
  </si>
  <si>
    <t>22MANGLAR 2</t>
  </si>
  <si>
    <t>PBC | M2 | 22 |212m2</t>
  </si>
  <si>
    <t>23MANGLAR 2</t>
  </si>
  <si>
    <t>PBC | M2 | 23 |238.68m2</t>
  </si>
  <si>
    <t>24MANGLAR 2</t>
  </si>
  <si>
    <t>PBC | M2 | 24 |146.31m2</t>
  </si>
  <si>
    <t>25MANGLAR 2</t>
  </si>
  <si>
    <t>PBC | M2 | 25 |145.55m2</t>
  </si>
  <si>
    <t>26MANGLAR 2</t>
  </si>
  <si>
    <t>PBC | M2 | 26 |145.55m2</t>
  </si>
  <si>
    <t>27MANGLAR 2</t>
  </si>
  <si>
    <t>PBC | M2 | 27 |129.38m2</t>
  </si>
  <si>
    <t>28MANGLAR 2</t>
  </si>
  <si>
    <t>PBC | M2 | 28 |129.38m2</t>
  </si>
  <si>
    <t>29MANGLAR 2</t>
  </si>
  <si>
    <t>PBC | M2 | 29 |129.38m2</t>
  </si>
  <si>
    <t>30MANGLAR 2</t>
  </si>
  <si>
    <t>PBC | M2 | 30 |129.38m2</t>
  </si>
  <si>
    <t>31MANGLAR 2</t>
  </si>
  <si>
    <t>PBC | M2 | 31 |129.38m2</t>
  </si>
  <si>
    <t>32MANGLAR 2</t>
  </si>
  <si>
    <t>PBC | M2 | 32 |129.38m2</t>
  </si>
  <si>
    <t>33MANGLAR 2</t>
  </si>
  <si>
    <t>PBC | M2 | 33 |142.03m2</t>
  </si>
  <si>
    <t>34MANGLAR 2</t>
  </si>
  <si>
    <t>PBC | M2 | 34 |148.67m2</t>
  </si>
  <si>
    <t>35MANGLAR 2</t>
  </si>
  <si>
    <t>PBC | M2 | 35 |136m2</t>
  </si>
  <si>
    <t>36MANGLAR 2</t>
  </si>
  <si>
    <t>PBC | M2 | 36 |136m2</t>
  </si>
  <si>
    <t>37MANGLAR 2</t>
  </si>
  <si>
    <t>PBC | M2 | 37 |128m2</t>
  </si>
  <si>
    <t>38MANGLAR 2</t>
  </si>
  <si>
    <t>PBC | M2 | 38 |128m2</t>
  </si>
  <si>
    <t>39MANGLAR 2</t>
  </si>
  <si>
    <t>PBC | M2 | 39 |128m2</t>
  </si>
  <si>
    <t>40MANGLAR 2</t>
  </si>
  <si>
    <t>PBC | M2 | 40 |128m2</t>
  </si>
  <si>
    <t>41MANGLAR 2</t>
  </si>
  <si>
    <t>PBC | M2 | 41 |128m2</t>
  </si>
  <si>
    <t>42MANGLAR 2</t>
  </si>
  <si>
    <t>PBC | M2 | 42 |128m2</t>
  </si>
  <si>
    <t>43MANGLAR 2</t>
  </si>
  <si>
    <t>PBC | M2 | 43 |128m2</t>
  </si>
  <si>
    <t>44MANGLAR 2</t>
  </si>
  <si>
    <t>PBC | M2 | 44 |128m2</t>
  </si>
  <si>
    <t>45MANGLAR 2</t>
  </si>
  <si>
    <t>PBC | M2 | 45 |128m2</t>
  </si>
  <si>
    <t>46MANGLAR 2</t>
  </si>
  <si>
    <t>PBC | M2 | 46 |128m2</t>
  </si>
  <si>
    <t>47MANGLAR 2</t>
  </si>
  <si>
    <t>PBC | M2 | 47 |128m2</t>
  </si>
  <si>
    <t>48MANGLAR 2</t>
  </si>
  <si>
    <t>PBC | M2 | 48 |128m2</t>
  </si>
  <si>
    <t>49MANGLAR 2</t>
  </si>
  <si>
    <t>PBC | M2 | 49 |128m2</t>
  </si>
  <si>
    <t>50MANGLAR 2</t>
  </si>
  <si>
    <t>PBC | M2 | 50 |128m2</t>
  </si>
  <si>
    <t>51MANGLAR 2</t>
  </si>
  <si>
    <t>PBC | M2 | 51 |128m2</t>
  </si>
  <si>
    <t>52MANGLAR 2</t>
  </si>
  <si>
    <t>PBC | M2 | 52 |147.66m2</t>
  </si>
  <si>
    <t>53MANGLAR 2</t>
  </si>
  <si>
    <t>PBC | M2 | 53 |151.15m2</t>
  </si>
  <si>
    <t>54MANGLAR 2</t>
  </si>
  <si>
    <t>PBC | M2 | 54 |129.36m2</t>
  </si>
  <si>
    <t>55MANGLAR 2</t>
  </si>
  <si>
    <t>PBC | M2 | 55 |129.36m2</t>
  </si>
  <si>
    <t>56MANGLAR 2</t>
  </si>
  <si>
    <t>PBC | M2 | 56 |129.36m2</t>
  </si>
  <si>
    <t>57MANGLAR 2</t>
  </si>
  <si>
    <t>PBC | M2 | 57 |145.53m2</t>
  </si>
  <si>
    <t>58MANGLAR 2</t>
  </si>
  <si>
    <t>PBC | M2 | 58 |143.71m2</t>
  </si>
  <si>
    <t>59MANGLAR 2</t>
  </si>
  <si>
    <t>PBC | M2 | 59 |137.4m2</t>
  </si>
  <si>
    <t>60MANGLAR 2</t>
  </si>
  <si>
    <t>PBC | M2 | 60 |137.4m2</t>
  </si>
  <si>
    <t>61MANGLAR 2</t>
  </si>
  <si>
    <t>PBC | M2 | 61 |137.4m2</t>
  </si>
  <si>
    <t>62MANGLAR 2</t>
  </si>
  <si>
    <t>PBC | M2 | 62 |137.4m2</t>
  </si>
  <si>
    <t>63MANGLAR 2</t>
  </si>
  <si>
    <t>PBC | M2 | 63 |137.4m2</t>
  </si>
  <si>
    <t>64MANGLAR 2</t>
  </si>
  <si>
    <t>PBC | M2 | 64 |165.51m2</t>
  </si>
  <si>
    <t>65MANGLAR 2</t>
  </si>
  <si>
    <t>PBC | M2 | 65 |168.5m2</t>
  </si>
  <si>
    <t>66MANGLAR 2</t>
  </si>
  <si>
    <t>PBC | M2 | 66 |166.31m2</t>
  </si>
  <si>
    <t>67MANGLAR 2</t>
  </si>
  <si>
    <t>PBC | M2 | 67 |166.31m2</t>
  </si>
  <si>
    <t>68MANGLAR 2</t>
  </si>
  <si>
    <t>PBC | M2 | 68 |166.31m2</t>
  </si>
  <si>
    <t>69MANGLAR 2</t>
  </si>
  <si>
    <t>PBC | M2 | 69 |166.31m2</t>
  </si>
  <si>
    <t>70MANGLAR 2</t>
  </si>
  <si>
    <t>PBC | M2 | 70 |160.73m2</t>
  </si>
  <si>
    <t>71MANGLAR 2</t>
  </si>
  <si>
    <t>PBC | M2 | 71 |157.15m2</t>
  </si>
  <si>
    <t>72MANGLAR 2</t>
  </si>
  <si>
    <t>PBC | M2 | 72 |160.65m2</t>
  </si>
  <si>
    <t>73MANGLAR 2</t>
  </si>
  <si>
    <t>PBC | M2 | 73 |160.65m2</t>
  </si>
  <si>
    <t>74MANGLAR 2</t>
  </si>
  <si>
    <t>PBC | M2 | 74 |160.65m2</t>
  </si>
  <si>
    <t>75MANGLAR 2</t>
  </si>
  <si>
    <t>PBC | M2 | 75 |160.65m2</t>
  </si>
  <si>
    <t>76MANGLAR 2</t>
  </si>
  <si>
    <t>PBC | M2 | 76 |160.65m2</t>
  </si>
  <si>
    <t>77MANGLAR 2</t>
  </si>
  <si>
    <t>PBC | M2 | 77 |150.61m2</t>
  </si>
  <si>
    <t>78MANGLAR 2</t>
  </si>
  <si>
    <t>PBC | M2 | 78 |150.98m2</t>
  </si>
  <si>
    <t>79MANGLAR 2</t>
  </si>
  <si>
    <t>PBC | M2 | 79 |162.27m2</t>
  </si>
  <si>
    <t>80MANGLAR 2</t>
  </si>
  <si>
    <t>PBC | M2 | 80 |162.27m2</t>
  </si>
  <si>
    <t>81MANGLAR 2</t>
  </si>
  <si>
    <t>PBC | M2 | 81 |162.27m2</t>
  </si>
  <si>
    <t>82MANGLAR 2</t>
  </si>
  <si>
    <t>PBC | M2 | 82 |162.25m2</t>
  </si>
  <si>
    <t>83MANGLAR 2</t>
  </si>
  <si>
    <t>PBC | M2 | 83 |172.09m2</t>
  </si>
  <si>
    <t>84MANGLAR 2</t>
  </si>
  <si>
    <t>PBC | M2 | 84 |172.74m2</t>
  </si>
  <si>
    <t>85MANGLAR 2</t>
  </si>
  <si>
    <t>PBC | M2 | 85 |153.61m2</t>
  </si>
  <si>
    <t>86MANGLAR 2</t>
  </si>
  <si>
    <t>PBC | M2 | 86 |153.61m2</t>
  </si>
  <si>
    <t>87MANGLAR 2</t>
  </si>
  <si>
    <t>PBC | M2 | 87 |153.61m2</t>
  </si>
  <si>
    <t>88MANGLAR 2</t>
  </si>
  <si>
    <t>PBC | M2 | 88 |153.61m2</t>
  </si>
  <si>
    <t>89MANGLAR 2</t>
  </si>
  <si>
    <t>PBC | M2 | 89 |143.47m2</t>
  </si>
  <si>
    <t>1MANGLAR A</t>
  </si>
  <si>
    <t>PBC | MA | 1 |118.18m2</t>
  </si>
  <si>
    <t>2MANGLAR A</t>
  </si>
  <si>
    <t>PBC | MA | 2 |110.59m2</t>
  </si>
  <si>
    <t>3MANGLAR A</t>
  </si>
  <si>
    <t>PBC | MA | 3 |110.59m2</t>
  </si>
  <si>
    <t>4MANGLAR A</t>
  </si>
  <si>
    <t>PBC | MA | 4 |110.59m2</t>
  </si>
  <si>
    <t>5MANGLAR A</t>
  </si>
  <si>
    <t>PBC | MA | 5 |110.59m2</t>
  </si>
  <si>
    <t>6MANGLAR A</t>
  </si>
  <si>
    <t>PBC | MA | 6 |110.59m2</t>
  </si>
  <si>
    <t>7MANGLAR A</t>
  </si>
  <si>
    <t>PBC | MA | 7 |110.59m2</t>
  </si>
  <si>
    <t>8MANGLAR A</t>
  </si>
  <si>
    <t>PBC | MA | 8 |110.59m2</t>
  </si>
  <si>
    <t>9MANGLAR A</t>
  </si>
  <si>
    <t>PBC | MA | 9 |110.59m2</t>
  </si>
  <si>
    <t>10MANGLAR A</t>
  </si>
  <si>
    <t>PBC | MA | 10 |110.59m2</t>
  </si>
  <si>
    <t>11MANGLAR A</t>
  </si>
  <si>
    <t>PBC | MA | 11 |110.59m2</t>
  </si>
  <si>
    <t>12MANGLAR A</t>
  </si>
  <si>
    <t>PBC | MA | 12 |110.59m2</t>
  </si>
  <si>
    <t>13MANGLAR A</t>
  </si>
  <si>
    <t>PBC | MA | 13 |110.59m2</t>
  </si>
  <si>
    <t>14MANGLAR A</t>
  </si>
  <si>
    <t>PBC | MA | 14 |110.59m2</t>
  </si>
  <si>
    <t>15MANGLAR A</t>
  </si>
  <si>
    <t>PBC | MA | 15 |110.59m2</t>
  </si>
  <si>
    <t>16MANGLAR A</t>
  </si>
  <si>
    <t>PBC | MA | 16 |110.59m2</t>
  </si>
  <si>
    <t>17MANGLAR A</t>
  </si>
  <si>
    <t>PBC | MA | 17 |110.59m2</t>
  </si>
  <si>
    <t>18MANGLAR A</t>
  </si>
  <si>
    <t>PBC | MA | 18 |110.59m2</t>
  </si>
  <si>
    <t>19MANGLAR A</t>
  </si>
  <si>
    <t>PBC | MA | 19 |110.59m2</t>
  </si>
  <si>
    <t>20MANGLAR A</t>
  </si>
  <si>
    <t>PBC | MA | 20 |110.59m2</t>
  </si>
  <si>
    <t>21MANGLAR A</t>
  </si>
  <si>
    <t>PBC | MA | 21 |110.59m2</t>
  </si>
  <si>
    <t>22MANGLAR A</t>
  </si>
  <si>
    <t>PBC | MA | 22 |142.92m2</t>
  </si>
  <si>
    <t>1LOMAS 1</t>
  </si>
  <si>
    <t>LPBC | L1 | 1 |202.31m2</t>
  </si>
  <si>
    <t>2LOMAS 1</t>
  </si>
  <si>
    <t>LPBC | L1 | 2 |136m2</t>
  </si>
  <si>
    <t>3LOMAS 1</t>
  </si>
  <si>
    <t>LPBC | L1 | 3 |136m2</t>
  </si>
  <si>
    <t>4LOMAS 1</t>
  </si>
  <si>
    <t>LPBC | L1 | 4 |136m2</t>
  </si>
  <si>
    <t>5LOMAS 1</t>
  </si>
  <si>
    <t>LPBC | L1 | 5 |136m2</t>
  </si>
  <si>
    <t>6LOMAS 1</t>
  </si>
  <si>
    <t>LPBC | L1 | 6 |136m2</t>
  </si>
  <si>
    <t>7LOMAS 1</t>
  </si>
  <si>
    <t>LPBC | L1 | 7 |136m2</t>
  </si>
  <si>
    <t>8LOMAS 1</t>
  </si>
  <si>
    <t>LPBC | L1 | 8 |136m2</t>
  </si>
  <si>
    <t>9LOMAS 1</t>
  </si>
  <si>
    <t>LPBC | L1 | 9 |136m2</t>
  </si>
  <si>
    <t>10LOMAS 1</t>
  </si>
  <si>
    <t>LPBC | L1 | 10 |136m2</t>
  </si>
  <si>
    <t>11LOMAS 1</t>
  </si>
  <si>
    <t>LPBC | L1 | 11 |136m2</t>
  </si>
  <si>
    <t>12LOMAS 1</t>
  </si>
  <si>
    <t>LPBC | L1 | 12 |136m2</t>
  </si>
  <si>
    <t>13LOMAS 1</t>
  </si>
  <si>
    <t>LPBC | L1 | 13 |136m2</t>
  </si>
  <si>
    <t>14LOMAS 1</t>
  </si>
  <si>
    <t>LPBC | L1 | 14 |136m2</t>
  </si>
  <si>
    <t>15LOMAS 1</t>
  </si>
  <si>
    <t>LPBC | L1 | 15 |136m2</t>
  </si>
  <si>
    <t>16LOMAS 1</t>
  </si>
  <si>
    <t>LPBC | L1 | 16 |128m2</t>
  </si>
  <si>
    <t>17LOMAS 1</t>
  </si>
  <si>
    <t>LPBC | L1 | 17 |128m2</t>
  </si>
  <si>
    <t>18LOMAS 1</t>
  </si>
  <si>
    <t>LPBC | L1 | 18 |128m2</t>
  </si>
  <si>
    <t>19LOMAS 1</t>
  </si>
  <si>
    <t>LPBC | L1 | 19 |128m2</t>
  </si>
  <si>
    <t>20LOMAS 1</t>
  </si>
  <si>
    <t>LPBC | L1 | 20 |170.61m2</t>
  </si>
  <si>
    <t>21LOMAS 1</t>
  </si>
  <si>
    <t>LPBC | L1 | 21 |195.9m2</t>
  </si>
  <si>
    <t>22LOMAS 1</t>
  </si>
  <si>
    <t>LPBC | L1 | 22 |140m2</t>
  </si>
  <si>
    <t>23LOMAS 1</t>
  </si>
  <si>
    <t>LPBC | L1 | 23 |140m2</t>
  </si>
  <si>
    <t>24LOMAS 1</t>
  </si>
  <si>
    <t>LPBC | L1 | 24 |140m2</t>
  </si>
  <si>
    <t>25LOMAS 1</t>
  </si>
  <si>
    <t>LPBC | L1 | 25 |140m2</t>
  </si>
  <si>
    <t>26LOMAS 1</t>
  </si>
  <si>
    <t>LPBC | L1 | 26 |140m2</t>
  </si>
  <si>
    <t>27LOMAS 1</t>
  </si>
  <si>
    <t>LPBC | L1 | 27 |140m2</t>
  </si>
  <si>
    <t>28LOMAS 1</t>
  </si>
  <si>
    <t>LPBC | L1 | 28 |140m2</t>
  </si>
  <si>
    <t>29LOMAS 1</t>
  </si>
  <si>
    <t>LPBC | L1 | 29 |140m2</t>
  </si>
  <si>
    <t>30LOMAS 1</t>
  </si>
  <si>
    <t>LPBC | L1 | 30 |157.5m2</t>
  </si>
  <si>
    <t>31LOMAS 1</t>
  </si>
  <si>
    <t>LPBC | L1 | 31 |157.5m2</t>
  </si>
  <si>
    <t>32LOMAS 1</t>
  </si>
  <si>
    <t>LPBC | L1 | 32 |157.5m2</t>
  </si>
  <si>
    <t>33LOMAS 1</t>
  </si>
  <si>
    <t>LPBC | L1 | 33 |157.5m2</t>
  </si>
  <si>
    <t>34LOMAS 1</t>
  </si>
  <si>
    <t>LPBC | L1 | 34 |157.5m2</t>
  </si>
  <si>
    <t>35LOMAS 1</t>
  </si>
  <si>
    <t>LPBC | L1 | 35 |157.5m2</t>
  </si>
  <si>
    <t>36LOMAS 1</t>
  </si>
  <si>
    <t>LPBC | L1 | 36 |157.5m2</t>
  </si>
  <si>
    <t>37LOMAS 1</t>
  </si>
  <si>
    <t>LPBC | L1 | 37 |228.9m2</t>
  </si>
  <si>
    <t>38LOMAS 1</t>
  </si>
  <si>
    <t>LPBC | L1 | 38 |228.9m2</t>
  </si>
  <si>
    <t>39LOMAS 1</t>
  </si>
  <si>
    <t>LPBC | L1 | 39 |140m2</t>
  </si>
  <si>
    <t>40LOMAS 1</t>
  </si>
  <si>
    <t>LPBC | L1 | 40 |140m2</t>
  </si>
  <si>
    <t>41LOMAS 1</t>
  </si>
  <si>
    <t>LPBC | L1 | 41 |140m2</t>
  </si>
  <si>
    <t>42LOMAS 1</t>
  </si>
  <si>
    <t>LPBC | L1 | 42 |140m2</t>
  </si>
  <si>
    <t>43LOMAS 1</t>
  </si>
  <si>
    <t>LPBC | L1 | 43 |140m2</t>
  </si>
  <si>
    <t>44LOMAS 1</t>
  </si>
  <si>
    <t>LPBC | L1 | 44 |140m2</t>
  </si>
  <si>
    <t>45LOMAS 1</t>
  </si>
  <si>
    <t>LPBC | L1 | 45 |140m2</t>
  </si>
  <si>
    <t>46LOMAS 1</t>
  </si>
  <si>
    <t>LPBC | L1 | 46 |140m2</t>
  </si>
  <si>
    <t>47LOMAS 1</t>
  </si>
  <si>
    <t>LPBC | L1 | 47 |140m2</t>
  </si>
  <si>
    <t>48LOMAS 1</t>
  </si>
  <si>
    <t>LPBC | L1 | 48 |140m2</t>
  </si>
  <si>
    <t>49LOMAS 1</t>
  </si>
  <si>
    <t>LPBC | L1 | 49 |140m2</t>
  </si>
  <si>
    <t>50LOMAS 1</t>
  </si>
  <si>
    <t>LPBC | L1 | 50 |140m2</t>
  </si>
  <si>
    <t>51LOMAS 1</t>
  </si>
  <si>
    <t>LPBC | L1 | 51 |140m2</t>
  </si>
  <si>
    <t>52LOMAS 1</t>
  </si>
  <si>
    <t>LPBC | L1 | 52 |140m2</t>
  </si>
  <si>
    <t>53LOMAS 1</t>
  </si>
  <si>
    <t>LPBC | L1 | 53 |187.63m2</t>
  </si>
  <si>
    <t>54LOMAS 1</t>
  </si>
  <si>
    <t>LPBC | L1 | 54 |223.89m2</t>
  </si>
  <si>
    <t>55LOMAS 1</t>
  </si>
  <si>
    <t>LPBC | L1 | 55 |170m2</t>
  </si>
  <si>
    <t>56LOMAS 1</t>
  </si>
  <si>
    <t>LPBC | L1 | 56 |170m2</t>
  </si>
  <si>
    <t>57LOMAS 1</t>
  </si>
  <si>
    <t>LPBC | L1 | 57 |170m2</t>
  </si>
  <si>
    <t>58LOMAS 1</t>
  </si>
  <si>
    <t>LPBC | L1 | 58 |170m2</t>
  </si>
  <si>
    <t>59LOMAS 1</t>
  </si>
  <si>
    <t>LPBC | L1 | 59 |170m2</t>
  </si>
  <si>
    <t>60LOMAS 1</t>
  </si>
  <si>
    <t>LPBC | L1 | 60 |170m2</t>
  </si>
  <si>
    <t>61LOMAS 1</t>
  </si>
  <si>
    <t>LPBC | L1 | 61 |170m2</t>
  </si>
  <si>
    <t>62LOMAS 1</t>
  </si>
  <si>
    <t>LPBC | L1 | 62 |170m2</t>
  </si>
  <si>
    <t>63LOMAS 1</t>
  </si>
  <si>
    <t>LPBC | L1 | 63 |180m2</t>
  </si>
  <si>
    <t>64LOMAS 1</t>
  </si>
  <si>
    <t>LPBC | L1 | 64 |180m2</t>
  </si>
  <si>
    <t>65LOMAS 1</t>
  </si>
  <si>
    <t>LPBC | L1 | 65 |276.12m2</t>
  </si>
  <si>
    <t>66LOMAS 1</t>
  </si>
  <si>
    <t>LPBC | L1 | 66 |276.12m2</t>
  </si>
  <si>
    <t>67LOMAS 1</t>
  </si>
  <si>
    <t>LPBC | L1 | 67 |170m2</t>
  </si>
  <si>
    <t>68LOMAS 1</t>
  </si>
  <si>
    <t>LPBC | L1 | 68 |170m2</t>
  </si>
  <si>
    <t>69LOMAS 1</t>
  </si>
  <si>
    <t>LPBC | L1 | 69 |170m2</t>
  </si>
  <si>
    <t>70LOMAS 1</t>
  </si>
  <si>
    <t>LPBC | L1 | 70 |170m2</t>
  </si>
  <si>
    <t>71LOMAS 1</t>
  </si>
  <si>
    <t>LPBC | L1 | 71 |170m2</t>
  </si>
  <si>
    <t>72LOMAS 1</t>
  </si>
  <si>
    <t>LPBC | L1 | 72 |170m2</t>
  </si>
  <si>
    <t>73LOMAS 1</t>
  </si>
  <si>
    <t>LPBC | L1 | 73 |170m2</t>
  </si>
  <si>
    <t>74LOMAS 1</t>
  </si>
  <si>
    <t>LPBC | L1 | 74 |170m2</t>
  </si>
  <si>
    <t>75LOMAS 1</t>
  </si>
  <si>
    <t>LPBC | L1 | 75 |230.22m2</t>
  </si>
  <si>
    <t>76LOMAS 1</t>
  </si>
  <si>
    <t>LPBC | L1 | 76 |166.86m2</t>
  </si>
  <si>
    <t>77LOMAS 1</t>
  </si>
  <si>
    <t>LPBC | L1 | 77 |128m2</t>
  </si>
  <si>
    <t>78LOMAS 1</t>
  </si>
  <si>
    <t>LPBC | L1 | 78 |128m2</t>
  </si>
  <si>
    <t>79LOMAS 1</t>
  </si>
  <si>
    <t>LPBC | L1 | 79 |128m2</t>
  </si>
  <si>
    <t>80LOMAS 1</t>
  </si>
  <si>
    <t>LPBC | L1 | 80 |136m2</t>
  </si>
  <si>
    <t>81LOMAS 1</t>
  </si>
  <si>
    <t>LPBC | L1 | 81 |136m2</t>
  </si>
  <si>
    <t>82LOMAS 1</t>
  </si>
  <si>
    <t>LPBC | L1 | 82 |136m2</t>
  </si>
  <si>
    <t>83LOMAS 1</t>
  </si>
  <si>
    <t>LPBC | L1 | 83 |136m2</t>
  </si>
  <si>
    <t>84LOMAS 1</t>
  </si>
  <si>
    <t>LPBC | L1 | 84 |136m2</t>
  </si>
  <si>
    <t>85LOMAS 1</t>
  </si>
  <si>
    <t>LPBC | L1 | 85 |136m2</t>
  </si>
  <si>
    <t>86LOMAS 1</t>
  </si>
  <si>
    <t>LPBC | L1 | 86 |136m2</t>
  </si>
  <si>
    <t>87LOMAS 1</t>
  </si>
  <si>
    <t>LPBC | L1 | 87 |159.87m2</t>
  </si>
  <si>
    <t>88LOMAS 2</t>
  </si>
  <si>
    <t>LPBC | L2 | 88 |153.18m2</t>
  </si>
  <si>
    <t>89LOMAS 2</t>
  </si>
  <si>
    <t>LPBC | L2 | 89 |128m2</t>
  </si>
  <si>
    <t>90LOMAS 2</t>
  </si>
  <si>
    <t>LPBC | L2 | 90 |128m2</t>
  </si>
  <si>
    <t>91LOMAS 2</t>
  </si>
  <si>
    <t>LPBC | L2 | 91 |143.63m2</t>
  </si>
  <si>
    <t>92LOMAS 2</t>
  </si>
  <si>
    <t>LPBC | L2 | 92 |128m2</t>
  </si>
  <si>
    <t>93LOMAS 2</t>
  </si>
  <si>
    <t>LPBC | L2 | 93 |128m2</t>
  </si>
  <si>
    <t>94LOMAS 2</t>
  </si>
  <si>
    <t>LPBC | L2 | 94 |128m2</t>
  </si>
  <si>
    <t>95LOMAS 2</t>
  </si>
  <si>
    <t>LPBC | L2 | 95 |128m2</t>
  </si>
  <si>
    <t>96LOMAS 2</t>
  </si>
  <si>
    <t>LPBC | L2 | 96 |128m2</t>
  </si>
  <si>
    <t>97LOMAS 2</t>
  </si>
  <si>
    <t>LPBC | L2 | 97 |128m2</t>
  </si>
  <si>
    <t>98LOMAS 2</t>
  </si>
  <si>
    <t>LPBC | L2 | 98 |128m2</t>
  </si>
  <si>
    <t>99LOMAS 2</t>
  </si>
  <si>
    <t>LPBC | L2 | 99 |128m2</t>
  </si>
  <si>
    <t>100LOMAS 2</t>
  </si>
  <si>
    <t>LPBC | L2 | 100 |128m2</t>
  </si>
  <si>
    <t>101LOMAS 2</t>
  </si>
  <si>
    <t>LPBC | L2 | 101 |128m2</t>
  </si>
  <si>
    <t>102LOMAS 2</t>
  </si>
  <si>
    <t>LPBC | L2 | 102 |128m2</t>
  </si>
  <si>
    <t>103LOMAS 2</t>
  </si>
  <si>
    <t>LPBC | L2 | 103 |128m2</t>
  </si>
  <si>
    <t>104LOMAS 2</t>
  </si>
  <si>
    <t>LPBC | L2 | 104 |128m2</t>
  </si>
  <si>
    <t>105LOMAS 2</t>
  </si>
  <si>
    <t>LPBC | L2 | 105 |128m2</t>
  </si>
  <si>
    <t>106LOMAS 2</t>
  </si>
  <si>
    <t>LPBC | L2 | 106 |128m2</t>
  </si>
  <si>
    <t>107LOMAS 2</t>
  </si>
  <si>
    <t>LPBC | L2 | 107 |128m2</t>
  </si>
  <si>
    <t>108LOMAS 2</t>
  </si>
  <si>
    <t>LPBC | L2 | 108 |143.63m2</t>
  </si>
  <si>
    <t>109LOMAS 2</t>
  </si>
  <si>
    <t>LPBC | L2 | 109 |143.63m2</t>
  </si>
  <si>
    <t>110LOMAS 2</t>
  </si>
  <si>
    <t>LPBC | L2 | 110 |128m2</t>
  </si>
  <si>
    <t>111LOMAS 2</t>
  </si>
  <si>
    <t>LPBC | L2 | 111 |128m2</t>
  </si>
  <si>
    <t>112LOMAS 2</t>
  </si>
  <si>
    <t>LPBC | L2 | 112 |128m2</t>
  </si>
  <si>
    <t>113LOMAS 2</t>
  </si>
  <si>
    <t>LPBC | L2 | 113 |128m2</t>
  </si>
  <si>
    <t>114LOMAS 2</t>
  </si>
  <si>
    <t>LPBC | L2 | 114 |128m2</t>
  </si>
  <si>
    <t>115LOMAS 2</t>
  </si>
  <si>
    <t>LPBC | L2 | 115 |128m2</t>
  </si>
  <si>
    <t>116LOMAS 2</t>
  </si>
  <si>
    <t>LPBC | L2 | 116 |128m2</t>
  </si>
  <si>
    <t>117LOMAS 2</t>
  </si>
  <si>
    <t>LPBC | L2 | 117 |128m2</t>
  </si>
  <si>
    <t>118LOMAS 2</t>
  </si>
  <si>
    <t>LPBC | L2 | 118 |128m2</t>
  </si>
  <si>
    <t>119LOMAS 2</t>
  </si>
  <si>
    <t>LPBC | L2 | 119 |128m2</t>
  </si>
  <si>
    <t>120LOMAS 2</t>
  </si>
  <si>
    <t>LPBC | L2 | 120 |128m2</t>
  </si>
  <si>
    <t>121LOMAS 2</t>
  </si>
  <si>
    <t>LPBC | L2 | 121 |128m2</t>
  </si>
  <si>
    <t>122LOMAS 2</t>
  </si>
  <si>
    <t>LPBC | L2 | 122 |128m2</t>
  </si>
  <si>
    <t>123LOMAS 2</t>
  </si>
  <si>
    <t>LPBC | L2 | 123 |128m2</t>
  </si>
  <si>
    <t>124LOMAS 2</t>
  </si>
  <si>
    <t>LPBC | L2 | 124 |128m2</t>
  </si>
  <si>
    <t>125LOMAS 2</t>
  </si>
  <si>
    <t>LPBC | L2 | 125 |128m2</t>
  </si>
  <si>
    <t>126LOMAS 2</t>
  </si>
  <si>
    <t>LPBC | L2 | 126 |143.63m2</t>
  </si>
  <si>
    <t>127LOMAS 2</t>
  </si>
  <si>
    <t>LPBC | L2 | 127 |143.63m2</t>
  </si>
  <si>
    <t>128LOMAS 2</t>
  </si>
  <si>
    <t>LPBC | L2 | 128 |128m2</t>
  </si>
  <si>
    <t>129LOMAS 2</t>
  </si>
  <si>
    <t>LPBC | L2 | 129 |128m2</t>
  </si>
  <si>
    <t>130LOMAS 2</t>
  </si>
  <si>
    <t>LPBC | L2 | 130 |128m2</t>
  </si>
  <si>
    <t>131LOMAS 2</t>
  </si>
  <si>
    <t>LPBC | L2 | 131 |128m2</t>
  </si>
  <si>
    <t>132LOMAS 2</t>
  </si>
  <si>
    <t>LPBC | L2 | 132 |128m2</t>
  </si>
  <si>
    <t>133LOMAS 2</t>
  </si>
  <si>
    <t>LPBC | L2 | 133 |128m2</t>
  </si>
  <si>
    <t>134LOMAS 2</t>
  </si>
  <si>
    <t>LPBC | L2 | 134 |128m2</t>
  </si>
  <si>
    <t>135LOMAS 2</t>
  </si>
  <si>
    <t>LPBC | L2 | 135 |128m2</t>
  </si>
  <si>
    <t>136LOMAS 2</t>
  </si>
  <si>
    <t>LPBC | L2 | 136 |128m2</t>
  </si>
  <si>
    <t>137LOMAS 2</t>
  </si>
  <si>
    <t>LPBC | L2 | 137 |128m2</t>
  </si>
  <si>
    <t>138LOMAS 2</t>
  </si>
  <si>
    <t>LPBC | L2 | 138 |128m2</t>
  </si>
  <si>
    <t>139LOMAS 2</t>
  </si>
  <si>
    <t>LPBC | L2 | 139 |128m2</t>
  </si>
  <si>
    <t>140LOMAS 2</t>
  </si>
  <si>
    <t>LPBC | L2 | 140 |128m2</t>
  </si>
  <si>
    <t>141LOMAS 2</t>
  </si>
  <si>
    <t>LPBC | L2 | 141 |128m2</t>
  </si>
  <si>
    <t>142LOMAS 2</t>
  </si>
  <si>
    <t>LPBC | L2 | 142 |128m2</t>
  </si>
  <si>
    <t>143LOMAS 2</t>
  </si>
  <si>
    <t>LPBC | L2 | 143 |128m2</t>
  </si>
  <si>
    <t>144LOMAS 2</t>
  </si>
  <si>
    <t>LPBC | L2 | 144 |143.63m2</t>
  </si>
  <si>
    <t>145LOMAS 2</t>
  </si>
  <si>
    <t>LPBC | L2 | 145 |143.63m2</t>
  </si>
  <si>
    <t>146LOMAS 2</t>
  </si>
  <si>
    <t>LPBC | L2 | 146 |128m2</t>
  </si>
  <si>
    <t>147LOMAS 2</t>
  </si>
  <si>
    <t>LPBC | L2 | 147 |128m2</t>
  </si>
  <si>
    <t>148LOMAS 2</t>
  </si>
  <si>
    <t>LPBC | L2 | 148 |128m2</t>
  </si>
  <si>
    <t>149LOMAS 2</t>
  </si>
  <si>
    <t>LPBC | L2 | 149 |128m2</t>
  </si>
  <si>
    <t>150LOMAS 2</t>
  </si>
  <si>
    <t>LPBC | L2 | 150 |128m2</t>
  </si>
  <si>
    <t>151LOMAS 2</t>
  </si>
  <si>
    <t>LPBC | L2 | 151 |128m2</t>
  </si>
  <si>
    <t>152LOMAS 2</t>
  </si>
  <si>
    <t>LPBC | L2 | 152 |128m2</t>
  </si>
  <si>
    <t>153LOMAS 2</t>
  </si>
  <si>
    <t>LPBC | L2 | 153 |128m2</t>
  </si>
  <si>
    <t>154LOMAS 2</t>
  </si>
  <si>
    <t>LPBC | L2 | 154 |128m2</t>
  </si>
  <si>
    <t>155LOMAS 2</t>
  </si>
  <si>
    <t>LPBC | L2 | 155 |128m2</t>
  </si>
  <si>
    <t>156LOMAS 2</t>
  </si>
  <si>
    <t>LPBC | L2 | 156 |128m2</t>
  </si>
  <si>
    <t>157LOMAS 2</t>
  </si>
  <si>
    <t>LPBC | L2 | 157 |128m2</t>
  </si>
  <si>
    <t>158LOMAS 2</t>
  </si>
  <si>
    <t>LPBC | L2 | 158 |128m2</t>
  </si>
  <si>
    <t>159LOMAS 2</t>
  </si>
  <si>
    <t>LPBC | L2 | 159 |128m2</t>
  </si>
  <si>
    <t>160LOMAS 2</t>
  </si>
  <si>
    <t>LPBC | L2 | 160 |128m2</t>
  </si>
  <si>
    <t>161LOMAS 2</t>
  </si>
  <si>
    <t>LPBC | L2 | 161 |128m2</t>
  </si>
  <si>
    <t>162LOMAS 2</t>
  </si>
  <si>
    <t>LPBC | L2 | 162 |143.63m2</t>
  </si>
  <si>
    <t>163LOMAS 4</t>
  </si>
  <si>
    <t>LPBC | L4 | 163 |143.63m2</t>
  </si>
  <si>
    <t>164LOMAS 4</t>
  </si>
  <si>
    <t>LPBC | L4 | 164 |128m2</t>
  </si>
  <si>
    <t>165LOMAS 4</t>
  </si>
  <si>
    <t>LPBC | L4 | 165 |128m2</t>
  </si>
  <si>
    <t>166LOMAS 4</t>
  </si>
  <si>
    <t>LPBC | L4 | 166 |128m2</t>
  </si>
  <si>
    <t>167LOMAS 4</t>
  </si>
  <si>
    <t>LPBC | L4 | 167 |128m2</t>
  </si>
  <si>
    <t>168LOMAS 4</t>
  </si>
  <si>
    <t>LPBC | L4 | 168 |128m2</t>
  </si>
  <si>
    <t>169LOMAS 4</t>
  </si>
  <si>
    <t>LPBC | L4 | 169 |128m2</t>
  </si>
  <si>
    <t>170LOMAS 4</t>
  </si>
  <si>
    <t>LPBC | L4 | 170 |128m2</t>
  </si>
  <si>
    <t>171LOMAS 4</t>
  </si>
  <si>
    <t>LPBC | L4 | 171 |128m2</t>
  </si>
  <si>
    <t>172LOMAS 4</t>
  </si>
  <si>
    <t>LPBC | L4 | 172 |128m2</t>
  </si>
  <si>
    <t>173LOMAS 4</t>
  </si>
  <si>
    <t>LPBC | L4 | 173 |128m2</t>
  </si>
  <si>
    <t>174LOMAS 4</t>
  </si>
  <si>
    <t>LPBC | L4 | 174 |128m2</t>
  </si>
  <si>
    <t>175LOMAS 4</t>
  </si>
  <si>
    <t>LPBC | L4 | 175 |128m2</t>
  </si>
  <si>
    <t>176LOMAS 4</t>
  </si>
  <si>
    <t>LPBC | L4 | 176 |128m2</t>
  </si>
  <si>
    <t>177LOMAS 4</t>
  </si>
  <si>
    <t>LPBC | L4 | 177 |128m2</t>
  </si>
  <si>
    <t>178LOMAS 4</t>
  </si>
  <si>
    <t>LPBC | L4 | 178 |128m2</t>
  </si>
  <si>
    <t>179LOMAS 4</t>
  </si>
  <si>
    <t>LPBC | L4 | 179 |128m2</t>
  </si>
  <si>
    <t>180LOMAS 4</t>
  </si>
  <si>
    <t>LPBC | L4 | 180 |143.63m2</t>
  </si>
  <si>
    <t>181LOMAS 4</t>
  </si>
  <si>
    <t>LPBC | L4 | 181 |143.63m2</t>
  </si>
  <si>
    <t>182LOMAS 4</t>
  </si>
  <si>
    <t>LPBC | L4 | 182 |128m2</t>
  </si>
  <si>
    <t>183LOMAS 4</t>
  </si>
  <si>
    <t>LPBC | L4 | 183 |128m2</t>
  </si>
  <si>
    <t>184LOMAS 4</t>
  </si>
  <si>
    <t>LPBC | L4 | 184 |128m2</t>
  </si>
  <si>
    <t>185LOMAS 4</t>
  </si>
  <si>
    <t>LPBC | L4 | 185 |128m2</t>
  </si>
  <si>
    <t>186LOMAS 4</t>
  </si>
  <si>
    <t>LPBC | L4 | 186 |128m2</t>
  </si>
  <si>
    <t>187LOMAS 4</t>
  </si>
  <si>
    <t>LPBC | L4 | 187 |128m2</t>
  </si>
  <si>
    <t>188LOMAS 4</t>
  </si>
  <si>
    <t>LPBC | L4 | 188 |128m2</t>
  </si>
  <si>
    <t>189LOMAS 4</t>
  </si>
  <si>
    <t>LPBC | L4 | 189 |128m2</t>
  </si>
  <si>
    <t>190LOMAS 4</t>
  </si>
  <si>
    <t>LPBC | L4 | 190 |128m2</t>
  </si>
  <si>
    <t>191LOMAS 4</t>
  </si>
  <si>
    <t>LPBC | L4 | 191 |128m2</t>
  </si>
  <si>
    <t>192LOMAS 4</t>
  </si>
  <si>
    <t>LPBC | L4 | 192 |128m2</t>
  </si>
  <si>
    <t>193LOMAS 4</t>
  </si>
  <si>
    <t>LPBC | L4 | 193 |128m2</t>
  </si>
  <si>
    <t>194LOMAS 4</t>
  </si>
  <si>
    <t>LPBC | L4 | 194 |128m2</t>
  </si>
  <si>
    <t>195LOMAS 4</t>
  </si>
  <si>
    <t>LPBC | L4 | 195 |128m2</t>
  </si>
  <si>
    <t>196LOMAS 4</t>
  </si>
  <si>
    <t>LPBC | L4 | 196 |128m2</t>
  </si>
  <si>
    <t>197LOMAS 4</t>
  </si>
  <si>
    <t>LPBC | L4 | 197 |128m2</t>
  </si>
  <si>
    <t>198LOMAS 4</t>
  </si>
  <si>
    <t>LPBC | L4 | 198 |143.63m2</t>
  </si>
  <si>
    <t>199LOMAS 4</t>
  </si>
  <si>
    <t>LPBC | L4 | 199 |143.63m2</t>
  </si>
  <si>
    <t>200LOMAS 4</t>
  </si>
  <si>
    <t>LPBC | L4 | 200 |128m2</t>
  </si>
  <si>
    <t>201LOMAS 4</t>
  </si>
  <si>
    <t>LPBC | L4 | 201 |128m2</t>
  </si>
  <si>
    <t>202LOMAS 4</t>
  </si>
  <si>
    <t>LPBC | L4 | 202 |128m2</t>
  </si>
  <si>
    <t>203LOMAS 4</t>
  </si>
  <si>
    <t>LPBC | L4 | 203 |128m2</t>
  </si>
  <si>
    <t>204LOMAS 4</t>
  </si>
  <si>
    <t>LPBC | L4 | 204 |128m2</t>
  </si>
  <si>
    <t>205LOMAS 4</t>
  </si>
  <si>
    <t>LPBC | L4 | 205 |128m2</t>
  </si>
  <si>
    <t>206LOMAS 4</t>
  </si>
  <si>
    <t>LPBC | L4 | 206 |128m2</t>
  </si>
  <si>
    <t>207LOMAS 4</t>
  </si>
  <si>
    <t>LPBC | L4 | 207 |128m2</t>
  </si>
  <si>
    <t>208LOMAS 4</t>
  </si>
  <si>
    <t>LPBC | L4 | 208 |128m2</t>
  </si>
  <si>
    <t>209LOMAS 4</t>
  </si>
  <si>
    <t>LPBC | L4 | 209 |128m2</t>
  </si>
  <si>
    <t>210LOMAS 4</t>
  </si>
  <si>
    <t>LPBC | L4 | 210 |128m2</t>
  </si>
  <si>
    <t>211LOMAS 4</t>
  </si>
  <si>
    <t>LPBC | L4 | 211 |128m2</t>
  </si>
  <si>
    <t>212LOMAS 4</t>
  </si>
  <si>
    <t>LPBC | L4 | 212 |128m2</t>
  </si>
  <si>
    <t>213LOMAS 4</t>
  </si>
  <si>
    <t>LPBC | L4 | 213 |128m2</t>
  </si>
  <si>
    <t>214LOMAS 4</t>
  </si>
  <si>
    <t>LPBC | L4 | 214 |128m2</t>
  </si>
  <si>
    <t>215LOMAS 4</t>
  </si>
  <si>
    <t>LPBC | L4 | 215 |128m2</t>
  </si>
  <si>
    <t>216LOMAS 4</t>
  </si>
  <si>
    <t>LPBC | L4 | 216 |143.63m2</t>
  </si>
  <si>
    <t>217LOMAS 4</t>
  </si>
  <si>
    <t>LPBC | L4 | 217 |143.63m2</t>
  </si>
  <si>
    <t>218LOMAS 4</t>
  </si>
  <si>
    <t>LPBC | L4 | 218 |128m2</t>
  </si>
  <si>
    <t>219LOMAS 4</t>
  </si>
  <si>
    <t>LPBC | L4 | 219 |128m2</t>
  </si>
  <si>
    <t>220LOMAS 4</t>
  </si>
  <si>
    <t>LPBC | L4 | 220 |128m2</t>
  </si>
  <si>
    <t>221LOMAS 4</t>
  </si>
  <si>
    <t>LPBC | L4 | 221 |128m2</t>
  </si>
  <si>
    <t>222LOMAS 4</t>
  </si>
  <si>
    <t>LPBC | L4 | 222 |128m2</t>
  </si>
  <si>
    <t>223LOMAS 4</t>
  </si>
  <si>
    <t>LPBC | L4 | 223 |128m2</t>
  </si>
  <si>
    <t>224LOMAS 4</t>
  </si>
  <si>
    <t>LPBC | L4 | 224 |128m2</t>
  </si>
  <si>
    <t>225LOMAS 4</t>
  </si>
  <si>
    <t>LPBC | L4 | 225 |128m2</t>
  </si>
  <si>
    <t>226LOMAS 4</t>
  </si>
  <si>
    <t>LPBC | L4 | 226 |128m2</t>
  </si>
  <si>
    <t>227LOMAS 4</t>
  </si>
  <si>
    <t>LPBC | L4 | 227 |128m2</t>
  </si>
  <si>
    <t>228LOMAS 4</t>
  </si>
  <si>
    <t>LPBC | L4 | 228 |128m2</t>
  </si>
  <si>
    <t>229LOMAS 4</t>
  </si>
  <si>
    <t>LPBC | L4 | 229 |128m2</t>
  </si>
  <si>
    <t>230LOMAS 4</t>
  </si>
  <si>
    <t>LPBC | L4 | 230 |128m2</t>
  </si>
  <si>
    <t>231LOMAS 4</t>
  </si>
  <si>
    <t>LPBC | L4 | 231 |128m2</t>
  </si>
  <si>
    <t>232LOMAS 4</t>
  </si>
  <si>
    <t>LPBC | L4 | 232 |128m2</t>
  </si>
  <si>
    <t>233LOMAS 4</t>
  </si>
  <si>
    <t>LPBC | L4 | 233 |128m2</t>
  </si>
  <si>
    <t>234LOMAS 4</t>
  </si>
  <si>
    <t>LPBC | L4 | 234 |143.63m2</t>
  </si>
  <si>
    <t>235LOMAS 4</t>
  </si>
  <si>
    <t>LPBC | L4 | 235 |143.63m2</t>
  </si>
  <si>
    <t>236LOMAS 4</t>
  </si>
  <si>
    <t>LPBC | L4 | 236 |128m2</t>
  </si>
  <si>
    <t>237LOMAS 4</t>
  </si>
  <si>
    <t>LPBC | L4 | 237 |128m2</t>
  </si>
  <si>
    <t>238LOMAS 4</t>
  </si>
  <si>
    <t>LPBC | L4 | 238 |128m2</t>
  </si>
  <si>
    <t>239LOMAS 4</t>
  </si>
  <si>
    <t>LPBC | L4 | 239 |128m2</t>
  </si>
  <si>
    <t>240LOMAS 4</t>
  </si>
  <si>
    <t>LPBC | L4 | 240 |128m2</t>
  </si>
  <si>
    <t>241LOMAS 4</t>
  </si>
  <si>
    <t>LPBC | L4 | 241 |128m2</t>
  </si>
  <si>
    <t>242LOMAS 4</t>
  </si>
  <si>
    <t>LPBC | L4 | 242 |128m2</t>
  </si>
  <si>
    <t>243LOMAS 4</t>
  </si>
  <si>
    <t>LPBC | L4 | 243 |128m2</t>
  </si>
  <si>
    <t>244LOMAS 4</t>
  </si>
  <si>
    <t>LPBC | L4 | 244 |128m2</t>
  </si>
  <si>
    <t>245LOMAS 4</t>
  </si>
  <si>
    <t>LPBC | L4 | 245 |128m2</t>
  </si>
  <si>
    <t>246LOMAS 4</t>
  </si>
  <si>
    <t>LPBC | L4 | 246 |128m2</t>
  </si>
  <si>
    <t>247LOMAS 4</t>
  </si>
  <si>
    <t>LPBC | L4 | 247 |128m2</t>
  </si>
  <si>
    <t>248LOMAS 4</t>
  </si>
  <si>
    <t>LPBC | L4 | 248 |128m2</t>
  </si>
  <si>
    <t>249LOMAS 4</t>
  </si>
  <si>
    <t>LPBC | L4 | 249 |128m2</t>
  </si>
  <si>
    <t>250LOMAS 4</t>
  </si>
  <si>
    <t>LPBC | L4 | 250 |128m2</t>
  </si>
  <si>
    <t>251LOMAS 4</t>
  </si>
  <si>
    <t>LPBC | L4 | 251 |128m2</t>
  </si>
  <si>
    <t>252LOMAS 4</t>
  </si>
  <si>
    <t>LPBC | L4 | 252 |143.63m2</t>
  </si>
  <si>
    <t>253LOMAS 4</t>
  </si>
  <si>
    <t>LPBC | L4 | 253 |143.63m2</t>
  </si>
  <si>
    <t>254LOMAS 4</t>
  </si>
  <si>
    <t>LPBC | L4 | 254 |128m2</t>
  </si>
  <si>
    <t>255LOMAS 4</t>
  </si>
  <si>
    <t>LPBC | L4 | 255 |128m2</t>
  </si>
  <si>
    <t>256LOMAS 4</t>
  </si>
  <si>
    <t>LPBC | L4 | 256 |128m2</t>
  </si>
  <si>
    <t>257LOMAS 4</t>
  </si>
  <si>
    <t>LPBC | L4 | 257 |128m2</t>
  </si>
  <si>
    <t>258LOMAS 4</t>
  </si>
  <si>
    <t>LPBC | L4 | 258 |128m2</t>
  </si>
  <si>
    <t>259LOMAS 4</t>
  </si>
  <si>
    <t>LPBC | L4 | 259 |128m2</t>
  </si>
  <si>
    <t>260LOMAS 4</t>
  </si>
  <si>
    <t>LPBC | L4 | 260 |128m2</t>
  </si>
  <si>
    <t>261LOMAS 4</t>
  </si>
  <si>
    <t>LPBC | L4 | 261 |128m2</t>
  </si>
  <si>
    <t>262LOMAS 4</t>
  </si>
  <si>
    <t>LPBC | L4 | 262 |128m2</t>
  </si>
  <si>
    <t>263LOMAS 4</t>
  </si>
  <si>
    <t>LPBC | L4 | 263 |129.18m2</t>
  </si>
  <si>
    <t>264LOMAS 4</t>
  </si>
  <si>
    <t>LPBC | L4 | 264 |128m2</t>
  </si>
  <si>
    <t>265LOMAS 4</t>
  </si>
  <si>
    <t>LPBC | L4 | 265 |128m2</t>
  </si>
  <si>
    <t>266LOMAS 4</t>
  </si>
  <si>
    <t>LPBC | L4 | 266 |128m2</t>
  </si>
  <si>
    <t>267LOMAS 4</t>
  </si>
  <si>
    <t>LPBC | L4 | 267 |128m2</t>
  </si>
  <si>
    <t>268LOMAS 4</t>
  </si>
  <si>
    <t>LPBC | L4 | 268 |128m2</t>
  </si>
  <si>
    <t>269LOMAS 4</t>
  </si>
  <si>
    <t>LPBC | L4 | 269 |128m2</t>
  </si>
  <si>
    <t>270LOMAS 4</t>
  </si>
  <si>
    <t>LPBC | L4 | 270 |143.63m2</t>
  </si>
  <si>
    <t>271LOMAS 4</t>
  </si>
  <si>
    <t>LPBC | L4 | 271 |216.49m2</t>
  </si>
  <si>
    <t>272LOMAS 4</t>
  </si>
  <si>
    <t>LPBC | L4 | 272 |201.53m2</t>
  </si>
  <si>
    <t>273LOMAS 4</t>
  </si>
  <si>
    <t>LPBC | L4 | 273 |186.56m2</t>
  </si>
  <si>
    <t>274LOMAS 4</t>
  </si>
  <si>
    <t>LPBC | L4 | 274 |171.6m2</t>
  </si>
  <si>
    <t>275LOMAS 4</t>
  </si>
  <si>
    <t>LPBC | L4 | 275 |156.64m2</t>
  </si>
  <si>
    <t>276LOMAS 4</t>
  </si>
  <si>
    <t>LPBC | L4 | 276 |141.67m2</t>
  </si>
  <si>
    <t>277LOMAS 4</t>
  </si>
  <si>
    <t>LPBC | L4 | 277 |126.71m2</t>
  </si>
  <si>
    <t>278LOMAS 3</t>
  </si>
  <si>
    <t>LPBC | L3 | 278 |159.13m2</t>
  </si>
  <si>
    <t>279LOMAS 3</t>
  </si>
  <si>
    <t>LPBC | L3 | 279 |136m2</t>
  </si>
  <si>
    <t>280LOMAS 3</t>
  </si>
  <si>
    <t>LPBC | L3 | 280 |136m2</t>
  </si>
  <si>
    <t>281LOMAS 3</t>
  </si>
  <si>
    <t>LPBC | L3 | 281 |136m2</t>
  </si>
  <si>
    <t>282LOMAS 3</t>
  </si>
  <si>
    <t>LPBC | L3 | 282 |136m2</t>
  </si>
  <si>
    <t>283LOMAS 3</t>
  </si>
  <si>
    <t>LPBC | L3 | 283 |136m2</t>
  </si>
  <si>
    <t>284LOMAS 3</t>
  </si>
  <si>
    <t>LPBC | L3 | 284 |136m2</t>
  </si>
  <si>
    <t>285LOMAS 3</t>
  </si>
  <si>
    <t>LPBC | L3 | 285 |136m2</t>
  </si>
  <si>
    <t>286LOMAS 3</t>
  </si>
  <si>
    <t>LPBC | L3 | 286 |136m2</t>
  </si>
  <si>
    <t>287LOMAS 3</t>
  </si>
  <si>
    <t>LPBC | L3 | 287 |136m2</t>
  </si>
  <si>
    <t>288LOMAS 3</t>
  </si>
  <si>
    <t>LPBC | L3 | 288 |136m2</t>
  </si>
  <si>
    <t>289LOMAS 3</t>
  </si>
  <si>
    <t>LPBC | L3 | 289 |136m2</t>
  </si>
  <si>
    <t>290LOMAS 3</t>
  </si>
  <si>
    <t>LPBC | L3 | 290 |136m2</t>
  </si>
  <si>
    <t>291LOMAS 3</t>
  </si>
  <si>
    <t>LPBC | L3 | 291 |136m2</t>
  </si>
  <si>
    <t>292LOMAS 3</t>
  </si>
  <si>
    <t>LPBC | L3 | 292 |136m2</t>
  </si>
  <si>
    <t>293LOMAS 3</t>
  </si>
  <si>
    <t>LPBC | L3 | 293 |136m2</t>
  </si>
  <si>
    <t>294LOMAS 3</t>
  </si>
  <si>
    <t>LPBC | L3 | 294 |128m2</t>
  </si>
  <si>
    <t>295LOMAS 3</t>
  </si>
  <si>
    <t>LPBC | L3 | 295 |128m2</t>
  </si>
  <si>
    <t>296LOMAS 3</t>
  </si>
  <si>
    <t>LPBC | L3 | 296 |128m2</t>
  </si>
  <si>
    <t>297LOMAS 3</t>
  </si>
  <si>
    <t>LPBC | L3 | 297 |128m2</t>
  </si>
  <si>
    <t>298LOMAS 3</t>
  </si>
  <si>
    <t>LPBC | L3 | 298 |128m2</t>
  </si>
  <si>
    <t>299LOMAS 3</t>
  </si>
  <si>
    <t>LPBC | L3 | 299 |128m2</t>
  </si>
  <si>
    <t>300LOMAS 3</t>
  </si>
  <si>
    <t>LPBC | L3 | 300 |128m2</t>
  </si>
  <si>
    <t>301LOMAS 3</t>
  </si>
  <si>
    <t>LPBC | L3 | 301 |128m2</t>
  </si>
  <si>
    <t>302LOMAS 3</t>
  </si>
  <si>
    <t>LPBC | L3 | 302 |128m2</t>
  </si>
  <si>
    <t>303LOMAS 3</t>
  </si>
  <si>
    <t>LPBC | L3 | 303 |128m2</t>
  </si>
  <si>
    <t>304LOMAS 3</t>
  </si>
  <si>
    <t>LPBC | L3 | 304 |173.81m2</t>
  </si>
  <si>
    <t>305LOMAS 3</t>
  </si>
  <si>
    <t>LPBC | L3 | 305 |196.95m2</t>
  </si>
  <si>
    <t>306LOMAS 3</t>
  </si>
  <si>
    <t>LPBC | L3 | 306 |170m2</t>
  </si>
  <si>
    <t>307LOMAS 3</t>
  </si>
  <si>
    <t>LPBC | L3 | 307 |170m2</t>
  </si>
  <si>
    <t>308LOMAS 3</t>
  </si>
  <si>
    <t>LPBC | L3 | 308 |170m2</t>
  </si>
  <si>
    <t>309LOMAS 3</t>
  </si>
  <si>
    <t>LPBC | L3 | 309 |170m2</t>
  </si>
  <si>
    <t>310LOMAS 3</t>
  </si>
  <si>
    <t>LPBC | L3 | 310 |170m2</t>
  </si>
  <si>
    <t>311LOMAS 3</t>
  </si>
  <si>
    <t>LPBC | L3 | 311 |170m2</t>
  </si>
  <si>
    <t>312LOMAS 3</t>
  </si>
  <si>
    <t>LPBC | L3 | 312 |170m2</t>
  </si>
  <si>
    <t>313LOMAS 3</t>
  </si>
  <si>
    <t>LPBC | L3 | 313 |170m2</t>
  </si>
  <si>
    <t>314LOMAS 3</t>
  </si>
  <si>
    <t>LPBC | L3 | 314 |170m2</t>
  </si>
  <si>
    <t>315LOMAS 3</t>
  </si>
  <si>
    <t>LPBC | L3 | 315 |170m2</t>
  </si>
  <si>
    <t>316LOMAS 3</t>
  </si>
  <si>
    <t>LPBC | L3 | 316 |170m2</t>
  </si>
  <si>
    <t>317LOMAS 3</t>
  </si>
  <si>
    <t>LPBC | L3 | 317 |170m2</t>
  </si>
  <si>
    <t>318LOMAS 3</t>
  </si>
  <si>
    <t>LPBC | L3 | 318 |160m2</t>
  </si>
  <si>
    <t>319LOMAS 3</t>
  </si>
  <si>
    <t>LPBC | L3 | 319 |160m2</t>
  </si>
  <si>
    <t>320LOMAS 3</t>
  </si>
  <si>
    <t>LPBC | L3 | 320 |160m2</t>
  </si>
  <si>
    <t>321LOMAS 3</t>
  </si>
  <si>
    <t>LPBC | L3 | 321 |160m2</t>
  </si>
  <si>
    <t>322LOMAS 3</t>
  </si>
  <si>
    <t>LPBC | L3 | 322 |160m2</t>
  </si>
  <si>
    <t>323LOMAS 3</t>
  </si>
  <si>
    <t>LPBC | L3 | 323 |160m2</t>
  </si>
  <si>
    <t>324LOMAS 3</t>
  </si>
  <si>
    <t>LPBC | L3 | 324 |197.54m2</t>
  </si>
  <si>
    <t>325LOMAS 3</t>
  </si>
  <si>
    <t>LPBC | L3 | 325 |189.42m2</t>
  </si>
  <si>
    <t>326LOMAS 3</t>
  </si>
  <si>
    <t>LPBC | L3 | 326 |161.5m2</t>
  </si>
  <si>
    <t>327LOMAS 3</t>
  </si>
  <si>
    <t>LPBC | L3 | 327 |161.5m2</t>
  </si>
  <si>
    <t>328LOMAS 3</t>
  </si>
  <si>
    <t>LPBC | L3 | 328 |161.5m2</t>
  </si>
  <si>
    <t>329LOMAS 3</t>
  </si>
  <si>
    <t>LPBC | L3 | 329 |161.5m2</t>
  </si>
  <si>
    <t>330LOMAS 3</t>
  </si>
  <si>
    <t>LPBC | L3 | 330 |161.5m2</t>
  </si>
  <si>
    <t>331LOMAS 3</t>
  </si>
  <si>
    <t>LPBC | L3 | 331 |161.5m2</t>
  </si>
  <si>
    <t>332LOMAS 3</t>
  </si>
  <si>
    <t>LPBC | L3 | 332 |161.5m2</t>
  </si>
  <si>
    <t>333LOMAS 3</t>
  </si>
  <si>
    <t>LPBC | L3 | 333 |161.5m2</t>
  </si>
  <si>
    <t>334LOMAS 3</t>
  </si>
  <si>
    <t>LPBC | L3 | 334 |161.5m2</t>
  </si>
  <si>
    <t>335LOMAS 3</t>
  </si>
  <si>
    <t>LPBC | L3 | 335 |161.5m2</t>
  </si>
  <si>
    <t>336LOMAS 3</t>
  </si>
  <si>
    <t>LPBC | L3 | 336 |161.5m2</t>
  </si>
  <si>
    <t>337LOMAS 3</t>
  </si>
  <si>
    <t>LPBC | L3 | 337 |161.5m2</t>
  </si>
  <si>
    <t>338LOMAS 3</t>
  </si>
  <si>
    <t>LPBC | L3 | 338 |152m2</t>
  </si>
  <si>
    <t>339LOMAS 3</t>
  </si>
  <si>
    <t>LPBC | L3 | 339 |152m2</t>
  </si>
  <si>
    <t>340LOMAS 3</t>
  </si>
  <si>
    <t>LPBC | L3 | 340 |152m2</t>
  </si>
  <si>
    <t>341LOMAS 3</t>
  </si>
  <si>
    <t>LPBC | L3 | 341 |152m2</t>
  </si>
  <si>
    <t>342LOMAS 3</t>
  </si>
  <si>
    <t>LPBC | L3 | 342 |152m2</t>
  </si>
  <si>
    <t>343LOMAS 3</t>
  </si>
  <si>
    <t>LPBC | L3 | 343 |152m2</t>
  </si>
  <si>
    <t>344LOMAS 3</t>
  </si>
  <si>
    <t>LPBC | L3 | 344 |185.35m2</t>
  </si>
  <si>
    <t>345LOMAS 3</t>
  </si>
  <si>
    <t>LPBC | L3 | 345 |155.63m2</t>
  </si>
  <si>
    <t>346LOMAS 3</t>
  </si>
  <si>
    <t>LPBC | L3 | 346 |136m2</t>
  </si>
  <si>
    <t>347LOMAS 3</t>
  </si>
  <si>
    <t>LPBC | L3 | 347 |136m2</t>
  </si>
  <si>
    <t>348LOMAS 3</t>
  </si>
  <si>
    <t>LPBC | L3 | 348 |136m2</t>
  </si>
  <si>
    <t>349LOMAS 3</t>
  </si>
  <si>
    <t>LPBC | L3 | 349 |136m2</t>
  </si>
  <si>
    <t>350LOMAS 3</t>
  </si>
  <si>
    <t>LPBC | L3 | 350 |136m2</t>
  </si>
  <si>
    <t>351LOMAS 3</t>
  </si>
  <si>
    <t>LPBC | L3 | 351 |136m2</t>
  </si>
  <si>
    <t>352LOMAS 3</t>
  </si>
  <si>
    <t>LPBC | L3 | 352 |136m2</t>
  </si>
  <si>
    <t>353LOMAS 3</t>
  </si>
  <si>
    <t>LPBC | L3 | 353 |136m2</t>
  </si>
  <si>
    <t>354LOMAS 3</t>
  </si>
  <si>
    <t>LPBC | L3 | 354 |136m2</t>
  </si>
  <si>
    <t>355LOMAS 3</t>
  </si>
  <si>
    <t>LPBC | L3 | 355 |136m2</t>
  </si>
  <si>
    <t>356LOMAS 3</t>
  </si>
  <si>
    <t>LPBC | L3 | 356 |136m2</t>
  </si>
  <si>
    <t>357LOMAS 3</t>
  </si>
  <si>
    <t>LPBC | L3 | 357 |136m2</t>
  </si>
  <si>
    <t>358LOMAS 3</t>
  </si>
  <si>
    <t>LPBC | L3 | 358 |128m2</t>
  </si>
  <si>
    <t>359LOMAS 3</t>
  </si>
  <si>
    <t>LPBC | L3 | 359 |128m2</t>
  </si>
  <si>
    <t>360LOMAS 3</t>
  </si>
  <si>
    <t>LPBC | L3 | 360 |173.81m2</t>
  </si>
  <si>
    <t>361LOMAS 3</t>
  </si>
  <si>
    <t>LPBC | L3 | 361 |173.814m2</t>
  </si>
  <si>
    <t>362LOMAS 3</t>
  </si>
  <si>
    <t>LPBC | L3 | 362 |128m2</t>
  </si>
  <si>
    <t>363LOMAS 3</t>
  </si>
  <si>
    <t>LPBC | L3 | 363 |128m2</t>
  </si>
  <si>
    <t>364LOMAS 3</t>
  </si>
  <si>
    <t>LPBC | L3 | 364 |136m2</t>
  </si>
  <si>
    <t>365LOMAS 3</t>
  </si>
  <si>
    <t>LPBC | L3 | 365 |136m2</t>
  </si>
  <si>
    <t>366LOMAS 3</t>
  </si>
  <si>
    <t>LPBC | L3 | 366 |136m2</t>
  </si>
  <si>
    <t>367LOMAS 3</t>
  </si>
  <si>
    <t>LPBC | L3 | 367 |136m2</t>
  </si>
  <si>
    <t>368LOMAS 3</t>
  </si>
  <si>
    <t>LPBC | L3 | 368 |136m2</t>
  </si>
  <si>
    <t>369LOMAS 3</t>
  </si>
  <si>
    <t>LPBC | L3 | 369 |136m2</t>
  </si>
  <si>
    <t>370LOMAS 3</t>
  </si>
  <si>
    <t>LPBC | L3 | 370 |136m2</t>
  </si>
  <si>
    <t>371LOMAS 3</t>
  </si>
  <si>
    <t>LPBC | L3 | 371 |136m2</t>
  </si>
  <si>
    <t>372LOMAS 3</t>
  </si>
  <si>
    <t>LPBC | L3 | 372 |136m2</t>
  </si>
  <si>
    <t>373LOMAS 3</t>
  </si>
  <si>
    <t>LPBC | L3 | 373 |136m2</t>
  </si>
  <si>
    <t>374LOMAS 3</t>
  </si>
  <si>
    <t>LPBC | L3 | 374 |136m2</t>
  </si>
  <si>
    <t>375LOMAS 3</t>
  </si>
  <si>
    <t>LPBC | L3 | 375 |152.71m2</t>
  </si>
  <si>
    <t>376LOMAS 3</t>
  </si>
  <si>
    <t>LPBC | L3 | 376 |157.03m2</t>
  </si>
  <si>
    <t>377LOMAS 3</t>
  </si>
  <si>
    <t>LPBC | L3 | 377 |144m2</t>
  </si>
  <si>
    <t>378LOMAS 3</t>
  </si>
  <si>
    <t>LPBC | L3 | 378 |144m2</t>
  </si>
  <si>
    <t>379LOMAS 3</t>
  </si>
  <si>
    <t>LPBC | L3 | 379 |144m2</t>
  </si>
  <si>
    <t>380LOMAS 3</t>
  </si>
  <si>
    <t>LPBC | L3 | 380 |144m2</t>
  </si>
  <si>
    <t>381LOMAS 3</t>
  </si>
  <si>
    <t>LPBC | L3 | 381 |136m2</t>
  </si>
  <si>
    <t>382LOMAS 3</t>
  </si>
  <si>
    <t>LPBC | L3 | 382 |136m2</t>
  </si>
  <si>
    <t>383LOMAS 3</t>
  </si>
  <si>
    <t>LPBC | L3 | 383 |136m2</t>
  </si>
  <si>
    <t>384LOMAS 3</t>
  </si>
  <si>
    <t>LPBC | L3 | 384 |136m2</t>
  </si>
  <si>
    <t>385LOMAS 3</t>
  </si>
  <si>
    <t>LPBC | L3 | 385 |136m2</t>
  </si>
  <si>
    <t>386LOMAS 3</t>
  </si>
  <si>
    <t>LPBC | L3 | 386 |136m2</t>
  </si>
  <si>
    <t>387LOMAS 3</t>
  </si>
  <si>
    <t>LPBC | L3 | 387 |136m2</t>
  </si>
  <si>
    <t>388LOMAS 3</t>
  </si>
  <si>
    <t>LPBC | L3 | 388 |173.81m2</t>
  </si>
  <si>
    <t>389LOMAS 3</t>
  </si>
  <si>
    <t>LPBC | L3 | 389 |173.81m2</t>
  </si>
  <si>
    <t>390LOMAS 3</t>
  </si>
  <si>
    <t>LPBC | L3 | 390 |136m2</t>
  </si>
  <si>
    <t>391LOMAS 3</t>
  </si>
  <si>
    <t>LPBC | L3 | 391 |136m2</t>
  </si>
  <si>
    <t>392LOMAS 3</t>
  </si>
  <si>
    <t>LPBC | L3 | 392 |136m2</t>
  </si>
  <si>
    <t>393LOMAS 3</t>
  </si>
  <si>
    <t>LPBC | L3 | 393 |136m2</t>
  </si>
  <si>
    <t>394LOMAS 3</t>
  </si>
  <si>
    <t>LPBC | L3 | 394 |136m2</t>
  </si>
  <si>
    <t>395LOMAS 3</t>
  </si>
  <si>
    <t>LPBC | L3 | 395 |136m2</t>
  </si>
  <si>
    <t>396LOMAS 3</t>
  </si>
  <si>
    <t>LPBC | L3 | 396 |144m2</t>
  </si>
  <si>
    <t>397LOMAS 3</t>
  </si>
  <si>
    <t>LPBC | L3 | 397 |144m2</t>
  </si>
  <si>
    <t>398LOMAS 3</t>
  </si>
  <si>
    <t>LPBC | L3 | 398 |144m2</t>
  </si>
  <si>
    <t>399LOMAS 3</t>
  </si>
  <si>
    <t>LPBC | L3 | 399 |144m2</t>
  </si>
  <si>
    <t>400LOMAS 3</t>
  </si>
  <si>
    <t>LPBC | L3 | 400 |154.11m2</t>
  </si>
  <si>
    <t>401LOMAS 3</t>
  </si>
  <si>
    <t>LPBC | L3 | 401 |178.97m2</t>
  </si>
  <si>
    <t>402LOMAS 3</t>
  </si>
  <si>
    <t>LPBC | L3 | 402 |140m2</t>
  </si>
  <si>
    <t>403LOMAS 3</t>
  </si>
  <si>
    <t>LPBC | L3 | 403 |140m2</t>
  </si>
  <si>
    <t>404LOMAS 3</t>
  </si>
  <si>
    <t>LPBC | L3 | 404 |140m2</t>
  </si>
  <si>
    <t>405LOMAS 3</t>
  </si>
  <si>
    <t>LPBC | L3 | 405 |140m2</t>
  </si>
  <si>
    <t>406LOMAS 3</t>
  </si>
  <si>
    <t>LPBC | L3 | 406 |140m2</t>
  </si>
  <si>
    <t>407LOMAS 3</t>
  </si>
  <si>
    <t>LPBC | L3 | 407 |140m2</t>
  </si>
  <si>
    <t>408LOMAS 3</t>
  </si>
  <si>
    <t>LPBC | L3 | 408 |140m2</t>
  </si>
  <si>
    <t>409LOMAS 3</t>
  </si>
  <si>
    <t>LPBC | L3 | 409 |140m2</t>
  </si>
  <si>
    <t>410LOMAS 3</t>
  </si>
  <si>
    <t>LPBC | L3 | 410 |140m2</t>
  </si>
  <si>
    <t>411LOMAS 3</t>
  </si>
  <si>
    <t>LPBC | L3 | 411 |194.81m2</t>
  </si>
  <si>
    <t>412LOMAS 3</t>
  </si>
  <si>
    <t>LPBC | L3 | 412 |194.81m2</t>
  </si>
  <si>
    <t>413LOMAS 3</t>
  </si>
  <si>
    <t>LPBC | L3 | 413 |157.5m2</t>
  </si>
  <si>
    <t>414LOMAS 3</t>
  </si>
  <si>
    <t>LPBC | L3 | 414 |157.5m2</t>
  </si>
  <si>
    <t>415LOMAS 3</t>
  </si>
  <si>
    <t>LPBC | L3 | 415 |157.5m2</t>
  </si>
  <si>
    <t>416LOMAS 3</t>
  </si>
  <si>
    <t>LPBC | L3 | 416 |157.5m2</t>
  </si>
  <si>
    <t>417LOMAS 3</t>
  </si>
  <si>
    <t>LPBC | L3 | 417 |157.5m2</t>
  </si>
  <si>
    <t>418LOMAS 3</t>
  </si>
  <si>
    <t>LPBC | L3 | 418 |157.5m2</t>
  </si>
  <si>
    <t>419LOMAS 3</t>
  </si>
  <si>
    <t>LPBC | L3 | 419 |157.5m2</t>
  </si>
  <si>
    <t>420LOMAS 3</t>
  </si>
  <si>
    <t>LPBC | L3 | 420 |170.27m2</t>
  </si>
  <si>
    <t>421LOMAS 3</t>
  </si>
  <si>
    <t>LPBC | L3 | 421 |221.21m2</t>
  </si>
  <si>
    <t>422LOMAS 3</t>
  </si>
  <si>
    <t>LPBC | L3 | 422 |180m2</t>
  </si>
  <si>
    <t>423LOMAS 3</t>
  </si>
  <si>
    <t>LPBC | L3 | 423 |180m2</t>
  </si>
  <si>
    <t>424LOMAS 3</t>
  </si>
  <si>
    <t>LPBC | L3 | 424 |180m2</t>
  </si>
  <si>
    <t>425LOMAS 3</t>
  </si>
  <si>
    <t>LPBC | L3 | 425 |180m2</t>
  </si>
  <si>
    <t>426LOMAS 3</t>
  </si>
  <si>
    <t>LPBC | L3 | 426 |180m2</t>
  </si>
  <si>
    <t>427LOMAS 3</t>
  </si>
  <si>
    <t>LPBC | L3 | 427 |251.59m2</t>
  </si>
  <si>
    <t>428LOMAS 3</t>
  </si>
  <si>
    <t>LPBC | L3 | 428 |233.69m2</t>
  </si>
  <si>
    <t>429LOMAS 3</t>
  </si>
  <si>
    <t>LPBC | L3 | 429 |180m2</t>
  </si>
  <si>
    <t>430LOMAS 3</t>
  </si>
  <si>
    <t>LPBC | L3 | 430 |180m2</t>
  </si>
  <si>
    <t>431LOMAS 3</t>
  </si>
  <si>
    <t>LPBC | L3 | 431 |180m2</t>
  </si>
  <si>
    <t>432LOMAS 3</t>
  </si>
  <si>
    <t>LPBC | L3 | 432 |180m2</t>
  </si>
  <si>
    <t>433LOMAS 3</t>
  </si>
  <si>
    <t>LPBC | L3 | 433 |202.04m2</t>
  </si>
  <si>
    <t>434LOMAS 3</t>
  </si>
  <si>
    <t>LPBC | L3 | 434 |157.18m2</t>
  </si>
  <si>
    <t>435LOMAS 3</t>
  </si>
  <si>
    <t>LPBC | L3 | 435 |136m2</t>
  </si>
  <si>
    <t>436LOMAS 3</t>
  </si>
  <si>
    <t>LPBC | L3 | 436 |136m2</t>
  </si>
  <si>
    <t>437LOMAS 3</t>
  </si>
  <si>
    <t>LPBC | L3 | 437 |136m2</t>
  </si>
  <si>
    <t>438LOMAS 3</t>
  </si>
  <si>
    <t>LPBC | L3 | 438 |136m2</t>
  </si>
  <si>
    <t>439LOMAS 3</t>
  </si>
  <si>
    <t>LPBC | L3 | 439 |136m2</t>
  </si>
  <si>
    <t>440LOMAS 3</t>
  </si>
  <si>
    <t>LPBC | L3 | 440 |136m2</t>
  </si>
  <si>
    <t>441LOMAS 3</t>
  </si>
  <si>
    <t>LPBC | L3 | 441 |136m2</t>
  </si>
  <si>
    <t>442LOMAS 3</t>
  </si>
  <si>
    <t>LPBC | L3 | 442 |128m2</t>
  </si>
  <si>
    <t>443LOMAS 3</t>
  </si>
  <si>
    <t>LPBC | L3 | 443 |128m2</t>
  </si>
  <si>
    <t>444LOMAS 3</t>
  </si>
  <si>
    <t>LPBC | L3 | 444 |128m2</t>
  </si>
  <si>
    <t>445LOMAS 3</t>
  </si>
  <si>
    <t>LPBC | L3 | 445 |128m2</t>
  </si>
  <si>
    <t>446LOMAS 3</t>
  </si>
  <si>
    <t>LPBC | L3 | 446 |128m2</t>
  </si>
  <si>
    <t>447LOMAS 3</t>
  </si>
  <si>
    <t>LPBC | L3 | 447 |128m2</t>
  </si>
  <si>
    <t>448LOMAS 3</t>
  </si>
  <si>
    <t>LPBC | L3 | 448 |128m2</t>
  </si>
  <si>
    <t>449LOMAS 3</t>
  </si>
  <si>
    <t>LPBC | L3 | 449 |128m2</t>
  </si>
  <si>
    <t>450LOMAS 3</t>
  </si>
  <si>
    <t>LPBC | L3 | 450 |128m2</t>
  </si>
  <si>
    <t>451LOMAS 3</t>
  </si>
  <si>
    <t>LPBC | L3 | 451 |128m2</t>
  </si>
  <si>
    <t>452LOMAS 3</t>
  </si>
  <si>
    <t>LPBC | L3 | 452 |128m2</t>
  </si>
  <si>
    <t>453LOMAS 3</t>
  </si>
  <si>
    <t>LPBC | L3 | 453 |128m2</t>
  </si>
  <si>
    <t>454LOMAS 3</t>
  </si>
  <si>
    <t>LPBC | L3 | 454 |128m2</t>
  </si>
  <si>
    <t>455LOMAS 3</t>
  </si>
  <si>
    <t>LPBC | L3 | 455 |128m2</t>
  </si>
  <si>
    <t>456LOMAS 3</t>
  </si>
  <si>
    <t>LPBC | L3 | 456 |128m2</t>
  </si>
  <si>
    <t>457LOMAS 3</t>
  </si>
  <si>
    <t>LPBC | L3 | 457 |128m2</t>
  </si>
  <si>
    <t>458LOMAS 3</t>
  </si>
  <si>
    <t>LPBC | L3 | 458 |128m2</t>
  </si>
  <si>
    <t>459LOMAS 3</t>
  </si>
  <si>
    <t>LPBC | L3 | 459 |128m2</t>
  </si>
  <si>
    <t>460LOMAS 3</t>
  </si>
  <si>
    <t>LPBC | L3 | 460 |128m2</t>
  </si>
  <si>
    <t>461LOMAS 3</t>
  </si>
  <si>
    <t>LPBC | L3 | 461 |128m2</t>
  </si>
  <si>
    <t>462LOMAS 3</t>
  </si>
  <si>
    <t>LPBC | L3 | 462 |173.814m2</t>
  </si>
  <si>
    <t>1AMATISTA 1</t>
  </si>
  <si>
    <t>PBB | A1 | 1 |160m2</t>
  </si>
  <si>
    <t>2AMATISTA 1</t>
  </si>
  <si>
    <t>PBB | A1 | 2 |160m2</t>
  </si>
  <si>
    <t>3AMATISTA 1</t>
  </si>
  <si>
    <t>PBB | A1 | 3 |160m2</t>
  </si>
  <si>
    <t>4AMATISTA 1</t>
  </si>
  <si>
    <t>PBB | A1 | 4 |160m2</t>
  </si>
  <si>
    <t>5AMATISTA 1</t>
  </si>
  <si>
    <t>PBB | A1 | 5 |160m2</t>
  </si>
  <si>
    <t>6AMATISTA 1</t>
  </si>
  <si>
    <t>PBB | A1 | 6 |160m2</t>
  </si>
  <si>
    <t>7AMATISTA 1</t>
  </si>
  <si>
    <t>PBB | A1 | 7 |160m2</t>
  </si>
  <si>
    <t>8AMATISTA 1</t>
  </si>
  <si>
    <t>PBB | A1 | 8 |160m2</t>
  </si>
  <si>
    <t>9AMATISTA 1</t>
  </si>
  <si>
    <t>PBB | A1 | 9 |160m2</t>
  </si>
  <si>
    <t>10AMATISTA 1</t>
  </si>
  <si>
    <t>PBB | A1 | 10 |160m2</t>
  </si>
  <si>
    <t>11AMATISTA 1</t>
  </si>
  <si>
    <t>PBB | A1 | 11 |160m2</t>
  </si>
  <si>
    <t>12AMATISTA 1</t>
  </si>
  <si>
    <t>PBB | A1 | 12 |160m2</t>
  </si>
  <si>
    <t>13AMATISTA 1</t>
  </si>
  <si>
    <t>PBB | A1 | 13 |160m2</t>
  </si>
  <si>
    <t>14AMATISTA 1</t>
  </si>
  <si>
    <t>PBB | A1 | 14 |160m2</t>
  </si>
  <si>
    <t>15AMATISTA 1</t>
  </si>
  <si>
    <t>PBB | A1 | 15 |160m2</t>
  </si>
  <si>
    <t>16AMATISTA 1</t>
  </si>
  <si>
    <t>PBB | A1 | 16 |160m2</t>
  </si>
  <si>
    <t>17AMATISTA 1</t>
  </si>
  <si>
    <t>PBB | A1 | 17 |180m2</t>
  </si>
  <si>
    <t>18AMATISTA 1</t>
  </si>
  <si>
    <t>PBB | A1 | 18 |180m2</t>
  </si>
  <si>
    <t>19AMATISTA 1</t>
  </si>
  <si>
    <t>PBB | A1 | 19 |180m2</t>
  </si>
  <si>
    <t>20AMATISTA 1</t>
  </si>
  <si>
    <t>PBB | A1 | 20 |180m2</t>
  </si>
  <si>
    <t>21AMATISTA 1</t>
  </si>
  <si>
    <t>PBB | A1 | 21 |193.25m2</t>
  </si>
  <si>
    <t>22AMATISTA 1</t>
  </si>
  <si>
    <t>PBB | A1 | 22 |301.34m2</t>
  </si>
  <si>
    <t>23AMATISTA 1</t>
  </si>
  <si>
    <t>PBB | A1 | 23 |160m2</t>
  </si>
  <si>
    <t>24AMATISTA 1</t>
  </si>
  <si>
    <t>PBB | A1 | 24 |160m2</t>
  </si>
  <si>
    <t>25AMATISTA 1</t>
  </si>
  <si>
    <t>PBB | A1 | 25 |180m2</t>
  </si>
  <si>
    <t>26AMATISTA 1</t>
  </si>
  <si>
    <t>PBB | A1 | 26 |180m2</t>
  </si>
  <si>
    <t>27AMATISTA 1</t>
  </si>
  <si>
    <t>PBB | A1 | 27 |180m2</t>
  </si>
  <si>
    <t>28AMATISTA 1</t>
  </si>
  <si>
    <t>PBB | A1 | 28 |180m2</t>
  </si>
  <si>
    <t>29AMATISTA 1</t>
  </si>
  <si>
    <t>PBB | A1 | 29 |179.75m2</t>
  </si>
  <si>
    <t>30AMATISTA 1</t>
  </si>
  <si>
    <t>PBB | A1 | 30 |176.49m2</t>
  </si>
  <si>
    <t>31AMATISTA 1</t>
  </si>
  <si>
    <t>PBB | A1 | 31 |172.34m2</t>
  </si>
  <si>
    <t>32AMATISTA 1</t>
  </si>
  <si>
    <t>PBB | A1 | 32 |168.2m2</t>
  </si>
  <si>
    <t>33AMATISTA 1</t>
  </si>
  <si>
    <t>PBB | A1 | 33 |164.05m2</t>
  </si>
  <si>
    <t>34AMATISTA 1</t>
  </si>
  <si>
    <t>PBB | A1 | 34 |254.76m2</t>
  </si>
  <si>
    <t>35AMATISTA 1</t>
  </si>
  <si>
    <t>PBB | A1 | 35 |256.96m2</t>
  </si>
  <si>
    <t>36AMATISTA 1</t>
  </si>
  <si>
    <t>PBB | A1 | 36 |180m2</t>
  </si>
  <si>
    <t>37AMATISTA 1</t>
  </si>
  <si>
    <t>PBB | A1 | 37 |180m2</t>
  </si>
  <si>
    <t>38AMATISTA 1</t>
  </si>
  <si>
    <t>PBB | A1 | 38 |180m2</t>
  </si>
  <si>
    <t>39AMATISTA 1</t>
  </si>
  <si>
    <t>PBB | A1 | 39 |180m2</t>
  </si>
  <si>
    <t>40AMATISTA 1</t>
  </si>
  <si>
    <t>PBB | A1 | 40 |180m2</t>
  </si>
  <si>
    <t>41AMATISTA 1</t>
  </si>
  <si>
    <t>PBB | A1 | 41 |180m2</t>
  </si>
  <si>
    <t>42AMATISTA 1</t>
  </si>
  <si>
    <t>PBB | A1 | 42 |180m2</t>
  </si>
  <si>
    <t>43AMATISTA 1</t>
  </si>
  <si>
    <t>PBB | A1 | 43 |180m2</t>
  </si>
  <si>
    <t>44AMATISTA 1</t>
  </si>
  <si>
    <t>PBB | A1 | 44 |160m2</t>
  </si>
  <si>
    <t>45AMATISTA 1</t>
  </si>
  <si>
    <t>PBB | A1 | 45 |160m2</t>
  </si>
  <si>
    <t>46AMATISTA 1</t>
  </si>
  <si>
    <t>PBB | A1 | 46 |160m2</t>
  </si>
  <si>
    <t>47AMATISTA 1</t>
  </si>
  <si>
    <t>PBB | A1 | 47 |160m2</t>
  </si>
  <si>
    <t>48AMATISTA 1</t>
  </si>
  <si>
    <t>PBB | A1 | 48 |160m2</t>
  </si>
  <si>
    <t>49AMATISTA 1</t>
  </si>
  <si>
    <t>PBB | A1 | 49 |160m2</t>
  </si>
  <si>
    <t>50AMATISTA 1</t>
  </si>
  <si>
    <t>PBB | A1 | 50 |160m2</t>
  </si>
  <si>
    <t>51AMATISTA 1</t>
  </si>
  <si>
    <t>PBB | A1 | 51 |160m2</t>
  </si>
  <si>
    <t>52AMATISTA 1</t>
  </si>
  <si>
    <t>PBB | A1 | 52 |160m2</t>
  </si>
  <si>
    <t>53AMATISTA 1</t>
  </si>
  <si>
    <t>PBB | A1 | 53 |160m2</t>
  </si>
  <si>
    <t>54AMATISTA 1</t>
  </si>
  <si>
    <t>PBB | A1 | 54 |160m2</t>
  </si>
  <si>
    <t>55AMATISTA 1</t>
  </si>
  <si>
    <t>PBB | A1 | 55 |160m2</t>
  </si>
  <si>
    <t>56AMATISTA 1</t>
  </si>
  <si>
    <t>PBB | A1 | 56 |160m2</t>
  </si>
  <si>
    <t>57AMATISTA 1</t>
  </si>
  <si>
    <t>PBB | A1 | 57 |160m2</t>
  </si>
  <si>
    <t>58AMATISTA 1</t>
  </si>
  <si>
    <t>PBB | A1 | 58 |214.15m2</t>
  </si>
  <si>
    <t>59AMATISTA 1</t>
  </si>
  <si>
    <t>PBB | A1 | 59 |231.52m2</t>
  </si>
  <si>
    <t>60AMATISTA 1</t>
  </si>
  <si>
    <t>PBB | A1 | 60 |166m2</t>
  </si>
  <si>
    <t>61AMATISTA 1</t>
  </si>
  <si>
    <t>PBB | A1 | 61 |160m2</t>
  </si>
  <si>
    <t>62AMATISTA 1</t>
  </si>
  <si>
    <t>PBB | A1 | 62 |223.52m2</t>
  </si>
  <si>
    <t>63AMATISTA 1</t>
  </si>
  <si>
    <t>PBB | A1 | 63 |216.98m2</t>
  </si>
  <si>
    <t>64AMATISTA 1</t>
  </si>
  <si>
    <t>PBB | A1 | 64 |228.5m2</t>
  </si>
  <si>
    <t>65AMATISTA 1</t>
  </si>
  <si>
    <t>PBB | A1 | 65 |180m2</t>
  </si>
  <si>
    <t>66AMATISTA 1</t>
  </si>
  <si>
    <t>PBB | A1 | 66 |180m2</t>
  </si>
  <si>
    <t>67AMATISTA 1</t>
  </si>
  <si>
    <t>PBB | A1 | 67 |160m2</t>
  </si>
  <si>
    <t>68AMATISTA 1</t>
  </si>
  <si>
    <t>PBB | A1 | 68 |160m2</t>
  </si>
  <si>
    <t>69AMATISTA 1</t>
  </si>
  <si>
    <t>PBB | A1 | 69 |160m2</t>
  </si>
  <si>
    <t>70AMATISTA 1</t>
  </si>
  <si>
    <t>PBB | A1 | 70 |160m2</t>
  </si>
  <si>
    <t>71AMATISTA 1</t>
  </si>
  <si>
    <t>PBB | A1 | 71 |160m2</t>
  </si>
  <si>
    <t>72AMATISTA 1</t>
  </si>
  <si>
    <t>PBB | A1 | 72 |160m2</t>
  </si>
  <si>
    <t>73AMATISTA 1</t>
  </si>
  <si>
    <t>PBB | A1 | 73 |160m2</t>
  </si>
  <si>
    <t>74AMATISTA 1</t>
  </si>
  <si>
    <t>PBB | A1 | 74 |160m2</t>
  </si>
  <si>
    <t>75AMATISTA 1</t>
  </si>
  <si>
    <t>PBB | A1 | 75 |161.29m2</t>
  </si>
  <si>
    <t>76AMATISTA 1</t>
  </si>
  <si>
    <t>PBB | A1 | 76 |161.29m2</t>
  </si>
  <si>
    <t>77AMATISTA 1</t>
  </si>
  <si>
    <t>PBB | A1 | 77 |160m2</t>
  </si>
  <si>
    <t>78AMATISTA 1</t>
  </si>
  <si>
    <t>PBB | A1 | 78 |160m2</t>
  </si>
  <si>
    <t>79AMATISTA 1</t>
  </si>
  <si>
    <t>PBB | A1 | 79 |160m2</t>
  </si>
  <si>
    <t>80AMATISTA 1</t>
  </si>
  <si>
    <t>PBB | A1 | 80 |160m2</t>
  </si>
  <si>
    <t>81AMATISTA 1</t>
  </si>
  <si>
    <t>PBB | A1 | 81 |160m2</t>
  </si>
  <si>
    <t>82AMATISTA 1</t>
  </si>
  <si>
    <t>PBB | A1 | 82 |160m2</t>
  </si>
  <si>
    <t>83AMATISTA 1</t>
  </si>
  <si>
    <t>PBB | A1 | 83 |180m2</t>
  </si>
  <si>
    <t>84AMATISTA 1</t>
  </si>
  <si>
    <t>PBB | A1 | 84 |180m2</t>
  </si>
  <si>
    <t>85AMATISTA 1</t>
  </si>
  <si>
    <t>PBB | A1 | 85 |180m2</t>
  </si>
  <si>
    <t>86AMATISTA 1</t>
  </si>
  <si>
    <t>PBB | A1 | 86 |180m2</t>
  </si>
  <si>
    <t>87AMATISTA 1</t>
  </si>
  <si>
    <t>PBB | A1 | 87 |180m2</t>
  </si>
  <si>
    <t>88AMATISTA 1</t>
  </si>
  <si>
    <t>PBB | A1 | 88 |221.29m2</t>
  </si>
  <si>
    <t>89AMATISTA 1</t>
  </si>
  <si>
    <t>PBB | A1 | 89 |221.29m2</t>
  </si>
  <si>
    <t>90AMATISTA 1</t>
  </si>
  <si>
    <t>PBB | A1 | 90 |180m2</t>
  </si>
  <si>
    <t>91AMATISTA 1</t>
  </si>
  <si>
    <t>PBB | A1 | 91 |180m2</t>
  </si>
  <si>
    <t>92AMATISTA 1</t>
  </si>
  <si>
    <t>PBB | A1 | 92 |180m2</t>
  </si>
  <si>
    <t>93AMATISTA 1</t>
  </si>
  <si>
    <t>PBB | A1 | 93 |180m2</t>
  </si>
  <si>
    <t>94AMATISTA 1</t>
  </si>
  <si>
    <t>PBB | A1 | 94 |180m2</t>
  </si>
  <si>
    <t>95AMATISTA 1</t>
  </si>
  <si>
    <t>PBB | A1 | 95 |207m2</t>
  </si>
  <si>
    <t>96AMATISTA 1</t>
  </si>
  <si>
    <t>PBB | A1 | 96 |207m2</t>
  </si>
  <si>
    <t>97AMATISTA 1</t>
  </si>
  <si>
    <t>PBB | A1 | 97 |207m2</t>
  </si>
  <si>
    <t>98AMATISTA 1</t>
  </si>
  <si>
    <t>PBB | A1 | 98 |207m2</t>
  </si>
  <si>
    <t>99AMATISTA 1</t>
  </si>
  <si>
    <t>PBB | A1 | 99 |207m2</t>
  </si>
  <si>
    <t>100AMATISTA 1</t>
  </si>
  <si>
    <t>PBB | A1 | 100 |254.48m2</t>
  </si>
  <si>
    <t>1AMATISTA 2</t>
  </si>
  <si>
    <t>PBB | A2 | 1 |436.97m2</t>
  </si>
  <si>
    <t>2AMATISTA 2</t>
  </si>
  <si>
    <t>PBB | A2 | 2 |240m2</t>
  </si>
  <si>
    <t>3AMATISTA 2</t>
  </si>
  <si>
    <t>PBB | A2 | 3 |240m2</t>
  </si>
  <si>
    <t>4AMATISTA 2</t>
  </si>
  <si>
    <t>PBB | A2 | 4 |240m2</t>
  </si>
  <si>
    <t>5AMATISTA 2</t>
  </si>
  <si>
    <t>PBB | A2 | 5 |240m2</t>
  </si>
  <si>
    <t>6AMATISTA 2</t>
  </si>
  <si>
    <t>PBB | A2 | 6 |240m2</t>
  </si>
  <si>
    <t>7AMATISTA 2</t>
  </si>
  <si>
    <t>PBB | A2 | 7 |240m2</t>
  </si>
  <si>
    <t>8AMATISTA 2</t>
  </si>
  <si>
    <t>PBB | A2 | 8 |240m2</t>
  </si>
  <si>
    <t>9AMATISTA 2</t>
  </si>
  <si>
    <t>PBB | A2 | 9 |240m2</t>
  </si>
  <si>
    <t>10AMATISTA 2</t>
  </si>
  <si>
    <t>PBB | A2 | 10 |240m2</t>
  </si>
  <si>
    <t>11AMATISTA 2</t>
  </si>
  <si>
    <t>PBB | A2 | 11 |240m2</t>
  </si>
  <si>
    <t>12AMATISTA 2</t>
  </si>
  <si>
    <t>PBB | A2 | 12 |240m2</t>
  </si>
  <si>
    <t>13AMATISTA 2</t>
  </si>
  <si>
    <t>PBB | A2 | 13 |240m2</t>
  </si>
  <si>
    <t>14AMATISTA 2</t>
  </si>
  <si>
    <t>PBB | A2 | 14 |240m2</t>
  </si>
  <si>
    <t>15AMATISTA 2</t>
  </si>
  <si>
    <t>PBB | A2 | 15 |240m2</t>
  </si>
  <si>
    <t>16AMATISTA 2</t>
  </si>
  <si>
    <t>PBB | A2 | 16 |240m2</t>
  </si>
  <si>
    <t>17AMATISTA 2</t>
  </si>
  <si>
    <t>PBB | A2 | 17 |240m2</t>
  </si>
  <si>
    <t>18AMATISTA 2</t>
  </si>
  <si>
    <t>PBB | A2 | 18 |240m2</t>
  </si>
  <si>
    <t>19AMATISTA 2</t>
  </si>
  <si>
    <t>PBB | A2 | 19 |240m2</t>
  </si>
  <si>
    <t>20AMATISTA 2</t>
  </si>
  <si>
    <t>PBB | A2 | 20 |229.44m2</t>
  </si>
  <si>
    <t>21AMATISTA 2</t>
  </si>
  <si>
    <t>PBB | A2 | 21 |229.2m2</t>
  </si>
  <si>
    <t>22AMATISTA 2</t>
  </si>
  <si>
    <t>PBB | A2 | 22 |346.9m2</t>
  </si>
  <si>
    <t>23AMATISTA 2</t>
  </si>
  <si>
    <t>PBB | A2 | 23 |346.9m2</t>
  </si>
  <si>
    <t>24AMATISTA 2</t>
  </si>
  <si>
    <t>PBB | A2 | 24 |240m2</t>
  </si>
  <si>
    <t>25AMATISTA 2</t>
  </si>
  <si>
    <t>PBB | A2 | 25 |240m2</t>
  </si>
  <si>
    <t>26AMATISTA 2</t>
  </si>
  <si>
    <t>PBB | A2 | 26 |240m2</t>
  </si>
  <si>
    <t>27AMATISTA 2</t>
  </si>
  <si>
    <t>PBB | A2 | 27 |240m2</t>
  </si>
  <si>
    <t>28AMATISTA 2</t>
  </si>
  <si>
    <t>PBB | A2 | 28 |240m2</t>
  </si>
  <si>
    <t>29AMATISTA 2</t>
  </si>
  <si>
    <t>PBB | A2 | 29 |240m2</t>
  </si>
  <si>
    <t>30AMATISTA 2</t>
  </si>
  <si>
    <t>PBB | A2 | 30 |240m2</t>
  </si>
  <si>
    <t>31AMATISTA 2</t>
  </si>
  <si>
    <t>PBB | A2 | 31 |240m2</t>
  </si>
  <si>
    <t>32AMATISTA 2</t>
  </si>
  <si>
    <t>PBB | A2 | 32 |240m2</t>
  </si>
  <si>
    <t>33AMATISTA 2</t>
  </si>
  <si>
    <t>PBB | A2 | 33 |363.17m2</t>
  </si>
  <si>
    <t>34AMATISTA 2</t>
  </si>
  <si>
    <t>PBB | A2 | 34 |413.1m2</t>
  </si>
  <si>
    <t>35AMATISTA 2</t>
  </si>
  <si>
    <t>PBB | A2 | 35 |264m2</t>
  </si>
  <si>
    <t>36AMATISTA 2</t>
  </si>
  <si>
    <t>PBB | A2 | 36 |264m2</t>
  </si>
  <si>
    <t>37AMATISTA 2</t>
  </si>
  <si>
    <t>PBB | A2 | 37 |264m2</t>
  </si>
  <si>
    <t>38AMATISTA 2</t>
  </si>
  <si>
    <t>PBB | A2 | 38 |264m2</t>
  </si>
  <si>
    <t>39AMATISTA 2</t>
  </si>
  <si>
    <t>PBB | A2 | 39 |264m2</t>
  </si>
  <si>
    <t>40AMATISTA 2</t>
  </si>
  <si>
    <t>PBB | A2 | 40 |264m2</t>
  </si>
  <si>
    <t>41AMATISTA 2</t>
  </si>
  <si>
    <t>PBB | A2 | 41 |264m2</t>
  </si>
  <si>
    <t>42AMATISTA 2</t>
  </si>
  <si>
    <t>PBB | A2 | 42 |264m2</t>
  </si>
  <si>
    <t>43AMATISTA 2</t>
  </si>
  <si>
    <t>PBB | A2 | 43 |263.65m2</t>
  </si>
  <si>
    <t>44AMATISTA 2</t>
  </si>
  <si>
    <t>PBB | A2 | 44 |259.43m2</t>
  </si>
  <si>
    <t>45AMATISTA 2</t>
  </si>
  <si>
    <t>PBB | A2 | 45 |254.13m2</t>
  </si>
  <si>
    <t>46AMATISTA 2</t>
  </si>
  <si>
    <t>PBB | A2 | 46 |354.12m2</t>
  </si>
  <si>
    <t>47AMATISTA 2</t>
  </si>
  <si>
    <t>PBB | A2 | 47 |305.19m2</t>
  </si>
  <si>
    <t>48AMATISTA 2</t>
  </si>
  <si>
    <t>PBB | A2 | 48 |247.92m2</t>
  </si>
  <si>
    <t>49AMATISTA 2</t>
  </si>
  <si>
    <t>PBB | A2 | 49 |247.92m2</t>
  </si>
  <si>
    <t>50AMATISTA 2</t>
  </si>
  <si>
    <t>PBB | A2 | 50 |247.92m2</t>
  </si>
  <si>
    <t>51AMATISTA 2</t>
  </si>
  <si>
    <t>PBB | A2 | 51 |247.92m2</t>
  </si>
  <si>
    <t>52AMATISTA 2</t>
  </si>
  <si>
    <t>PBB | A2 | 52 |247.92m2</t>
  </si>
  <si>
    <t>53AMATISTA 2</t>
  </si>
  <si>
    <t>PBB | A2 | 53 |247.92m2</t>
  </si>
  <si>
    <t>54AMATISTA 2</t>
  </si>
  <si>
    <t>PBB | A2 | 54 |369.95m2</t>
  </si>
  <si>
    <t>55AMATISTA 2</t>
  </si>
  <si>
    <t>PBB | A2 | 55 |308.82m2</t>
  </si>
  <si>
    <t>56AMATISTA 2</t>
  </si>
  <si>
    <t>PBB | A2 | 56 |302.82m2</t>
  </si>
  <si>
    <t>57AMATISTA 2</t>
  </si>
  <si>
    <t>PBB | A2 | 57 |296.83m2</t>
  </si>
  <si>
    <t>58AMATISTA 2</t>
  </si>
  <si>
    <t>PBB | A2 | 58 |290.83m2</t>
  </si>
  <si>
    <t>59AMATISTA 2</t>
  </si>
  <si>
    <t>PBB | A2 | 59 |284.84m2</t>
  </si>
  <si>
    <t>60AMATISTA 2</t>
  </si>
  <si>
    <t>PBB | A2 | 60 |278.85m2</t>
  </si>
  <si>
    <t>61AMATISTA 2</t>
  </si>
  <si>
    <t>PBB | A2 | 61 |272.85m2</t>
  </si>
  <si>
    <t>62AMATISTA 2</t>
  </si>
  <si>
    <t>PBB | A2 | 62 |266.86m2</t>
  </si>
  <si>
    <t>63AMATISTA 2</t>
  </si>
  <si>
    <t>PBB | A2 | 63 |260.86m2</t>
  </si>
  <si>
    <t>64AMATISTA 2</t>
  </si>
  <si>
    <t>PBB | A2 | 64 |300m2</t>
  </si>
  <si>
    <t>65AMATISTA 2</t>
  </si>
  <si>
    <t>PBB | A2 | 65 |300m2</t>
  </si>
  <si>
    <t>66AMATISTA 2</t>
  </si>
  <si>
    <t>PBB | A2 | 66 |300m2</t>
  </si>
  <si>
    <t>67AMATISTA 2</t>
  </si>
  <si>
    <t>PBB | A2 | 67 |300m2</t>
  </si>
  <si>
    <t>68AMATISTA 2</t>
  </si>
  <si>
    <t>PBB | A2 | 68 |300m2</t>
  </si>
  <si>
    <t>69AMATISTA 2</t>
  </si>
  <si>
    <t>PBB | A2 | 69 |300m2</t>
  </si>
  <si>
    <t>70AMATISTA 2</t>
  </si>
  <si>
    <t>PBB | A2 | 70 |300m2</t>
  </si>
  <si>
    <t>71AMATISTA 2</t>
  </si>
  <si>
    <t>PBB | A2 | 71 |300m2</t>
  </si>
  <si>
    <t>1ZAFIRO 1</t>
  </si>
  <si>
    <t>PBB | Z1 | 1 |164.35m2</t>
  </si>
  <si>
    <t>2ZAFIRO 1</t>
  </si>
  <si>
    <t>PBB | Z1 | 2 |164.35m2</t>
  </si>
  <si>
    <t>3ZAFIRO 1</t>
  </si>
  <si>
    <t>PBB | Z1 | 3 |164.35m2</t>
  </si>
  <si>
    <t>4ZAFIRO 1</t>
  </si>
  <si>
    <t>PBB | Z1 | 4 |164.35m2</t>
  </si>
  <si>
    <t>5ZAFIRO 1</t>
  </si>
  <si>
    <t>PBB | Z1 | 5 |164.35m2</t>
  </si>
  <si>
    <t>6ZAFIRO 1</t>
  </si>
  <si>
    <t>PBB | Z1 | 6 |164.35m2</t>
  </si>
  <si>
    <t>7ZAFIRO 1</t>
  </si>
  <si>
    <t>PBB | Z1 | 7 |164.35m2</t>
  </si>
  <si>
    <t>8ZAFIRO 1</t>
  </si>
  <si>
    <t>PBB | Z1 | 8 |164.35m2</t>
  </si>
  <si>
    <t>9ZAFIRO 1</t>
  </si>
  <si>
    <t>PBB | Z1 | 9 |318.12m2</t>
  </si>
  <si>
    <t>10ZAFIRO 1</t>
  </si>
  <si>
    <t>PBB | Z1 | 10 |283.77m2</t>
  </si>
  <si>
    <t>11ZAFIRO 1</t>
  </si>
  <si>
    <t>PBB | Z1 | 11 |160m2</t>
  </si>
  <si>
    <t>12ZAFIRO 1</t>
  </si>
  <si>
    <t>PBB | Z1 | 12 |160m2</t>
  </si>
  <si>
    <t>13ZAFIRO 1</t>
  </si>
  <si>
    <t>PBB | Z1 | 13 |160m2</t>
  </si>
  <si>
    <t>14ZAFIRO 1</t>
  </si>
  <si>
    <t>PBB | Z1 | 14 |160m2</t>
  </si>
  <si>
    <t>15ZAFIRO 1</t>
  </si>
  <si>
    <t>PBB | Z1 | 15 |180m2</t>
  </si>
  <si>
    <t>16ZAFIRO 1</t>
  </si>
  <si>
    <t>PBB | Z1 | 16 |180m2</t>
  </si>
  <si>
    <t>17ZAFIRO 1</t>
  </si>
  <si>
    <t>PBB | Z1 | 17 |180m2</t>
  </si>
  <si>
    <t>18ZAFIRO 1</t>
  </si>
  <si>
    <t>PBB | Z1 | 18 |289.14m2</t>
  </si>
  <si>
    <t>19ZAFIRO 1</t>
  </si>
  <si>
    <t>PBB | Z1 | 19 |254.65m2</t>
  </si>
  <si>
    <t>20ZAFIRO 1</t>
  </si>
  <si>
    <t>PBB | Z1 | 20 |207m2</t>
  </si>
  <si>
    <t>21ZAFIRO 1</t>
  </si>
  <si>
    <t>PBB | Z1 | 21 |207m2</t>
  </si>
  <si>
    <t>22ZAFIRO 1</t>
  </si>
  <si>
    <t>PBB | Z1 | 22 |207m2</t>
  </si>
  <si>
    <t>23ZAFIRO 1</t>
  </si>
  <si>
    <t>PBB | Z1 | 23 |207m2</t>
  </si>
  <si>
    <t>24ZAFIRO 1</t>
  </si>
  <si>
    <t>PBB | Z1 | 24 |207m2</t>
  </si>
  <si>
    <t>25ZAFIRO 1</t>
  </si>
  <si>
    <t>PBB | Z1 | 25 |201.42m2</t>
  </si>
  <si>
    <t>26ZAFIRO 1</t>
  </si>
  <si>
    <t>PBB | Z1 | 26 |205.88m2</t>
  </si>
  <si>
    <t>27ZAFIRO 1</t>
  </si>
  <si>
    <t>PBB | Z1 | 27 |180m2</t>
  </si>
  <si>
    <t>28ZAFIRO 1</t>
  </si>
  <si>
    <t>PBB | Z1 | 28 |180m2</t>
  </si>
  <si>
    <t>29ZAFIRO 1</t>
  </si>
  <si>
    <t>PBB | Z1 | 29 |180m2</t>
  </si>
  <si>
    <t>30ZAFIRO 1</t>
  </si>
  <si>
    <t>PBB | Z1 | 30 |180m2</t>
  </si>
  <si>
    <t>31ZAFIRO 1</t>
  </si>
  <si>
    <t>PBB | Z1 | 31 |169.44m2</t>
  </si>
  <si>
    <t>32ZAFIRO 1</t>
  </si>
  <si>
    <t>PBB | Z1 | 32 |183.57m2</t>
  </si>
  <si>
    <t>33ZAFIRO 1</t>
  </si>
  <si>
    <t>PBB | Z1 | 33 |180m2</t>
  </si>
  <si>
    <t>34ZAFIRO 1</t>
  </si>
  <si>
    <t>PBB | Z1 | 34 |160m2</t>
  </si>
  <si>
    <t>35ZAFIRO 1</t>
  </si>
  <si>
    <t>PBB | Z1 | 35 |160m2</t>
  </si>
  <si>
    <t>36ZAFIRO 1</t>
  </si>
  <si>
    <t>PBB | Z1 | 36 |160m2</t>
  </si>
  <si>
    <t>37ZAFIRO 1</t>
  </si>
  <si>
    <t>PBB | Z1 | 37 |160m2</t>
  </si>
  <si>
    <t>38ZAFIRO 1</t>
  </si>
  <si>
    <t>PBB | Z1 | 38 |160m2</t>
  </si>
  <si>
    <t>39ZAFIRO 1</t>
  </si>
  <si>
    <t>PBB | Z1 | 39 |160m2</t>
  </si>
  <si>
    <t>40ZAFIRO 1</t>
  </si>
  <si>
    <t>PBB | Z1 | 40 |160m2</t>
  </si>
  <si>
    <t>41ZAFIRO 1</t>
  </si>
  <si>
    <t>PBB | Z1 | 41 |160m2</t>
  </si>
  <si>
    <t>42ZAFIRO 1</t>
  </si>
  <si>
    <t>PBB | Z1 | 42 |160m2</t>
  </si>
  <si>
    <t>43ZAFIRO 1</t>
  </si>
  <si>
    <t>PBB | Z1 | 43 |160m2</t>
  </si>
  <si>
    <t>44ZAFIRO 1</t>
  </si>
  <si>
    <t>PBB | Z1 | 44 |160m2</t>
  </si>
  <si>
    <t>45ZAFIRO 1</t>
  </si>
  <si>
    <t>PBB | Z1 | 45 |160m2</t>
  </si>
  <si>
    <t>46ZAFIRO 1</t>
  </si>
  <si>
    <t>PBB | Z1 | 46 |160m2</t>
  </si>
  <si>
    <t>47ZAFIRO 1</t>
  </si>
  <si>
    <t>PBB | Z1 | 47 |160m2</t>
  </si>
  <si>
    <t>48ZAFIRO 1</t>
  </si>
  <si>
    <t>PBB | Z1 | 48 |160m2</t>
  </si>
  <si>
    <t>49ZAFIRO 1</t>
  </si>
  <si>
    <t>PBB | Z1 | 49 |160m2</t>
  </si>
  <si>
    <t>50ZAFIRO 1</t>
  </si>
  <si>
    <t>PBB | Z1 | 50 |160m2</t>
  </si>
  <si>
    <t>51ZAFIRO 1</t>
  </si>
  <si>
    <t>PBB | Z1 | 51 |160m2</t>
  </si>
  <si>
    <t>52ZAFIRO 1</t>
  </si>
  <si>
    <t>PBB | Z1 | 52 |160m2</t>
  </si>
  <si>
    <t>53ZAFIRO 1</t>
  </si>
  <si>
    <t>PBB | Z1 | 53 |160m2</t>
  </si>
  <si>
    <t>54ZAFIRO 1</t>
  </si>
  <si>
    <t>PBB | Z1 | 54 |160m2</t>
  </si>
  <si>
    <t>55ZAFIRO 1</t>
  </si>
  <si>
    <t>PBB | Z1 | 55 |190.1m2</t>
  </si>
  <si>
    <t>56ZAFIRO 1</t>
  </si>
  <si>
    <t>PBB | Z1 | 56 |205.12m2</t>
  </si>
  <si>
    <t>57ZAFIRO 1</t>
  </si>
  <si>
    <t>PBB | Z1 | 57 |164.35m2</t>
  </si>
  <si>
    <t>58ZAFIRO 1</t>
  </si>
  <si>
    <t>PBB | Z1 | 58 |164.35m2</t>
  </si>
  <si>
    <t>59ZAFIRO 1</t>
  </si>
  <si>
    <t>PBB | Z1 | 59 |164.35m2</t>
  </si>
  <si>
    <t>60ZAFIRO 1</t>
  </si>
  <si>
    <t>PBB | Z1 | 60 |164.35m2</t>
  </si>
  <si>
    <t>61ZAFIRO 1</t>
  </si>
  <si>
    <t>PBB | Z1 | 61 |164.35m2</t>
  </si>
  <si>
    <t>62ZAFIRO 1</t>
  </si>
  <si>
    <t>PBB | Z1 | 62 |164.35m2</t>
  </si>
  <si>
    <t>63ZAFIRO 1</t>
  </si>
  <si>
    <t>PBB | Z1 | 63 |164.35m2</t>
  </si>
  <si>
    <t>64ZAFIRO 1</t>
  </si>
  <si>
    <t>PBB | Z1 | 64 |183.65m2</t>
  </si>
  <si>
    <t>65ZAFIRO 1</t>
  </si>
  <si>
    <t>PBB | Z1 | 65 |164.73m2</t>
  </si>
  <si>
    <t>66ZAFIRO 1</t>
  </si>
  <si>
    <t>PBB | Z1 | 66 |164.73m2</t>
  </si>
  <si>
    <t>67ZAFIRO 1</t>
  </si>
  <si>
    <t>PBB | Z1 | 67 |164.73m2</t>
  </si>
  <si>
    <t>68ZAFIRO 1</t>
  </si>
  <si>
    <t>PBB | Z1 | 68 |164.73m2</t>
  </si>
  <si>
    <t>69ZAFIRO 1</t>
  </si>
  <si>
    <t>PBB | Z1 | 69 |164.73m2</t>
  </si>
  <si>
    <t>70ZAFIRO 1</t>
  </si>
  <si>
    <t>PBB | Z1 | 70 |164.73m2</t>
  </si>
  <si>
    <t>71ZAFIRO 1</t>
  </si>
  <si>
    <t>PBB | Z1 | 71 |209.18m2</t>
  </si>
  <si>
    <t>72ZAFIRO 1</t>
  </si>
  <si>
    <t>PBB | Z1 | 72 |233.04m2</t>
  </si>
  <si>
    <t>73ZAFIRO 1</t>
  </si>
  <si>
    <t>PBB | Z1 | 73 |185.65m2</t>
  </si>
  <si>
    <t>74ZAFIRO 1</t>
  </si>
  <si>
    <t>PBB | Z1 | 74 |185.65m2</t>
  </si>
  <si>
    <t>75ZAFIRO 1</t>
  </si>
  <si>
    <t>PBB | Z1 | 75 |185.65m2</t>
  </si>
  <si>
    <t>76ZAFIRO 1</t>
  </si>
  <si>
    <t>PBB | Z1 | 76 |185.65m2</t>
  </si>
  <si>
    <t>77ZAFIRO 1</t>
  </si>
  <si>
    <t>PBB | Z1 | 77 |234.49m2</t>
  </si>
  <si>
    <t>78ZAFIRO 1</t>
  </si>
  <si>
    <t>PBB | Z1 | 78 |218.55m2</t>
  </si>
  <si>
    <t>79ZAFIRO 1</t>
  </si>
  <si>
    <t>PBB | Z1 | 79 |180m2</t>
  </si>
  <si>
    <t>80ZAFIRO 1</t>
  </si>
  <si>
    <t>PBB | Z1 | 80 |180m2</t>
  </si>
  <si>
    <t>81ZAFIRO 1</t>
  </si>
  <si>
    <t>PBB | Z1 | 81 |180m2</t>
  </si>
  <si>
    <t>82ZAFIRO 1</t>
  </si>
  <si>
    <t>PBB | Z1 | 82 |160m2</t>
  </si>
  <si>
    <t>83ZAFIRO 1</t>
  </si>
  <si>
    <t>PBB | Z1 | 83 |160m2</t>
  </si>
  <si>
    <t>84ZAFIRO 1</t>
  </si>
  <si>
    <t>PBB | Z1 | 84 |160m2</t>
  </si>
  <si>
    <t>85ZAFIRO 1</t>
  </si>
  <si>
    <t>PBB | Z1 | 85 |160m2</t>
  </si>
  <si>
    <t>86ZAFIRO 1</t>
  </si>
  <si>
    <t>PBB | Z1 | 86 |173.43m2</t>
  </si>
  <si>
    <t>87ZAFIRO 1</t>
  </si>
  <si>
    <t>PBB | Z1 | 87 |196.48m2</t>
  </si>
  <si>
    <t>88ZAFIRO 1</t>
  </si>
  <si>
    <t>PBB | Z1 | 88 |218.5m2</t>
  </si>
  <si>
    <t>89ZAFIRO 1</t>
  </si>
  <si>
    <t>PBB | Z1 | 89 |230m2</t>
  </si>
  <si>
    <t>90ZAFIRO 1</t>
  </si>
  <si>
    <t>PBB | Z1 | 90 |230m2</t>
  </si>
  <si>
    <t>91ZAFIRO 1</t>
  </si>
  <si>
    <t>PBB | Z1 | 91 |230m2</t>
  </si>
  <si>
    <t>92ZAFIRO 1</t>
  </si>
  <si>
    <t>PBB | Z1 | 92 |230m2</t>
  </si>
  <si>
    <t>93ZAFIRO 1</t>
  </si>
  <si>
    <t>PBB | Z1 | 93 |290.47m2</t>
  </si>
  <si>
    <t>94ZAFIRO 1</t>
  </si>
  <si>
    <t>PBB | Z1 | 94 |218.45m2</t>
  </si>
  <si>
    <t>95ZAFIRO 1</t>
  </si>
  <si>
    <t>PBB | Z1 | 95 |214.55m2</t>
  </si>
  <si>
    <t>96ZAFIRO 1</t>
  </si>
  <si>
    <t>PBB | Z1 | 96 |214.55m2</t>
  </si>
  <si>
    <t>97ZAFIRO 1</t>
  </si>
  <si>
    <t>PBB | Z1 | 97 |214.55m2</t>
  </si>
  <si>
    <t>98ZAFIRO 1</t>
  </si>
  <si>
    <t>PBB | Z1 | 98 |214.55m2</t>
  </si>
  <si>
    <t>99ZAFIRO 1</t>
  </si>
  <si>
    <t>PBB | Z1 | 99 |214.55m2</t>
  </si>
  <si>
    <t>100ZAFIRO 1</t>
  </si>
  <si>
    <t>PBB | Z1 | 100 |220.85m2</t>
  </si>
  <si>
    <t>101ZAFIRO 1</t>
  </si>
  <si>
    <t>PBB | Z1 | 101 |208.99m2</t>
  </si>
  <si>
    <t>102ZAFIRO 1</t>
  </si>
  <si>
    <t>PBB | Z1 | 102 |185.32m2</t>
  </si>
  <si>
    <t>103ZAFIRO 1</t>
  </si>
  <si>
    <t>PBB | Z1 | 103 |185.32m2</t>
  </si>
  <si>
    <t>104ZAFIRO 1</t>
  </si>
  <si>
    <t>PBB | Z1 | 104 |185.32m2</t>
  </si>
  <si>
    <t>105ZAFIRO 1</t>
  </si>
  <si>
    <t>PBB | Z1 | 105 |185.32m2</t>
  </si>
  <si>
    <t>106ZAFIRO 1</t>
  </si>
  <si>
    <t>PBB | Z1 | 106 |185.32m2</t>
  </si>
  <si>
    <t>107ZAFIRO 1</t>
  </si>
  <si>
    <t>PBB | Z1 | 107 |215.97m2</t>
  </si>
  <si>
    <t>1ZAFIRO 2</t>
  </si>
  <si>
    <t>PBB | Z2 | 1 |213.53m2</t>
  </si>
  <si>
    <t>2ZAFIRO 2</t>
  </si>
  <si>
    <t>PBB | Z2 | 2 |213.53m2</t>
  </si>
  <si>
    <t>3ZAFIRO 2</t>
  </si>
  <si>
    <t>PBB | Z2 | 3 |213.53m2</t>
  </si>
  <si>
    <t>4ZAFIRO 2</t>
  </si>
  <si>
    <t>PBB | Z2 | 4 |213.53m2</t>
  </si>
  <si>
    <t>5ZAFIRO 2</t>
  </si>
  <si>
    <t>PBB | Z2 | 5 |253.83m2</t>
  </si>
  <si>
    <t>6ZAFIRO 2</t>
  </si>
  <si>
    <t>PBB | Z2 | 6 |217.27m2</t>
  </si>
  <si>
    <t>7ZAFIRO 2</t>
  </si>
  <si>
    <t>PBB | Z2 | 7 |160m2</t>
  </si>
  <si>
    <t>8ZAFIRO 2</t>
  </si>
  <si>
    <t>PBB | Z2 | 8 |160m2</t>
  </si>
  <si>
    <t>9ZAFIRO 2</t>
  </si>
  <si>
    <t>PBB | Z2 | 9 |160m2</t>
  </si>
  <si>
    <t>10ZAFIRO 2</t>
  </si>
  <si>
    <t>PBB | Z2 | 10 |160m2</t>
  </si>
  <si>
    <t>11ZAFIRO 2</t>
  </si>
  <si>
    <t>PBB | Z2 | 11 |160m2</t>
  </si>
  <si>
    <t>12ZAFIRO 2</t>
  </si>
  <si>
    <t>PBB | Z2 | 12 |160m2</t>
  </si>
  <si>
    <t>13ZAFIRO 2</t>
  </si>
  <si>
    <t>PBB | Z2 | 13 |160m2</t>
  </si>
  <si>
    <t>14ZAFIRO 2</t>
  </si>
  <si>
    <t>PBB | Z2 | 14 |160m2</t>
  </si>
  <si>
    <t>15ZAFIRO 2</t>
  </si>
  <si>
    <t>PBB | Z2 | 15 |160m2</t>
  </si>
  <si>
    <t>16ZAFIRO 2</t>
  </si>
  <si>
    <t>PBB | Z2 | 16 |160m2</t>
  </si>
  <si>
    <t>17ZAFIRO 2</t>
  </si>
  <si>
    <t>PBB | Z2 | 17 |160m2</t>
  </si>
  <si>
    <t>18ZAFIRO 2</t>
  </si>
  <si>
    <t>PBB | Z2 | 18 |160m2</t>
  </si>
  <si>
    <t>19ZAFIRO 2</t>
  </si>
  <si>
    <t>PBB | Z2 | 19 |160m2</t>
  </si>
  <si>
    <t>20ZAFIRO 2</t>
  </si>
  <si>
    <t>PBB | Z2 | 20 |160m2</t>
  </si>
  <si>
    <t>21ZAFIRO 2</t>
  </si>
  <si>
    <t>PBB | Z2 | 21 |160m2</t>
  </si>
  <si>
    <t>22ZAFIRO 2</t>
  </si>
  <si>
    <t>PBB | Z2 | 22 |160m2</t>
  </si>
  <si>
    <t>23ZAFIRO 2</t>
  </si>
  <si>
    <t>PBB | Z2 | 23 |180m2</t>
  </si>
  <si>
    <t>24ZAFIRO 2</t>
  </si>
  <si>
    <t>PBB | Z2 | 24 |180m2</t>
  </si>
  <si>
    <t>25ZAFIRO 2</t>
  </si>
  <si>
    <t>PBB | Z2 | 25 |180m2</t>
  </si>
  <si>
    <t>26ZAFIRO 2</t>
  </si>
  <si>
    <t>PBB | Z2 | 26 |180m2</t>
  </si>
  <si>
    <t>27ZAFIRO 2</t>
  </si>
  <si>
    <t>PBB | Z2 | 27 |180m2</t>
  </si>
  <si>
    <t>28ZAFIRO 2</t>
  </si>
  <si>
    <t>PBB | Z2 | 28 |180m2</t>
  </si>
  <si>
    <t>29ZAFIRO 2</t>
  </si>
  <si>
    <t>PBB | Z2 | 29 |307.36m2</t>
  </si>
  <si>
    <t>30ZAFIRO 2</t>
  </si>
  <si>
    <t>PBB | Z2 | 30 |173.96m2</t>
  </si>
  <si>
    <t>31ZAFIRO 2</t>
  </si>
  <si>
    <t>PBB | Z2 | 31 |160m2</t>
  </si>
  <si>
    <t>32ZAFIRO 2</t>
  </si>
  <si>
    <t>PBB | Z2 | 32 |160m2</t>
  </si>
  <si>
    <t>33ZAFIRO 2</t>
  </si>
  <si>
    <t>PBB | Z2 | 33 |160m2</t>
  </si>
  <si>
    <t>34ZAFIRO 2</t>
  </si>
  <si>
    <t>PBB | Z2 | 34 |160m2</t>
  </si>
  <si>
    <t>35ZAFIRO 2</t>
  </si>
  <si>
    <t>PBB | Z2 | 35 |160m2</t>
  </si>
  <si>
    <t>36ZAFIRO 2</t>
  </si>
  <si>
    <t>PBB | Z2 | 36 |160m2</t>
  </si>
  <si>
    <t>37ZAFIRO 2</t>
  </si>
  <si>
    <t>PBB | Z2 | 37 |160m2</t>
  </si>
  <si>
    <t>38ZAFIRO 2</t>
  </si>
  <si>
    <t>PBB | Z2 | 38 |170.74m2</t>
  </si>
  <si>
    <t>39ZAFIRO 2</t>
  </si>
  <si>
    <t>PBB | Z2 | 39 |182.03m2</t>
  </si>
  <si>
    <t>40ZAFIRO 2</t>
  </si>
  <si>
    <t>PBB | Z2 | 40 |160m2</t>
  </si>
  <si>
    <t>41ZAFIRO 2</t>
  </si>
  <si>
    <t>PBB | Z2 | 41 |160m2</t>
  </si>
  <si>
    <t>42ZAFIRO 2</t>
  </si>
  <si>
    <t>PBB | Z2 | 42 |160m2</t>
  </si>
  <si>
    <t>43ZAFIRO 2</t>
  </si>
  <si>
    <t>PBB | Z2 | 43 |160m2</t>
  </si>
  <si>
    <t>44ZAFIRO 2</t>
  </si>
  <si>
    <t>PBB | Z2 | 44 |160m2</t>
  </si>
  <si>
    <t>45ZAFIRO 2</t>
  </si>
  <si>
    <t>PBB | Z2 | 45 |160m2</t>
  </si>
  <si>
    <t>46ZAFIRO 2</t>
  </si>
  <si>
    <t>PBB | Z2 | 46 |160m2</t>
  </si>
  <si>
    <t>47ZAFIRO 2</t>
  </si>
  <si>
    <t>PBB | Z2 | 47 |160m2</t>
  </si>
  <si>
    <t>48ZAFIRO 2</t>
  </si>
  <si>
    <t>PBB | Z2 | 48 |160m2</t>
  </si>
  <si>
    <t>49ZAFIRO 2</t>
  </si>
  <si>
    <t>PBB | Z2 | 49 |160m2</t>
  </si>
  <si>
    <t>50ZAFIRO 2</t>
  </si>
  <si>
    <t>PBB | Z2 | 50 |160m2</t>
  </si>
  <si>
    <t>51ZAFIRO 2</t>
  </si>
  <si>
    <t>PBB | Z2 | 51 |160m2</t>
  </si>
  <si>
    <t>52ZAFIRO 2</t>
  </si>
  <si>
    <t>PBB | Z2 | 52 |160m2</t>
  </si>
  <si>
    <t>53ZAFIRO 2</t>
  </si>
  <si>
    <t>PBB | Z2 | 53 |160m2</t>
  </si>
  <si>
    <t>54ZAFIRO 2</t>
  </si>
  <si>
    <t>PBB | Z2 | 54 |180m2</t>
  </si>
  <si>
    <t>55ZAFIRO 2</t>
  </si>
  <si>
    <t>PBB | Z2 | 55 |180m2</t>
  </si>
  <si>
    <t>56ZAFIRO 2</t>
  </si>
  <si>
    <t>PBB | Z2 | 56 |180m2</t>
  </si>
  <si>
    <t>57ZAFIRO 2</t>
  </si>
  <si>
    <t>PBB | Z2 | 57 |180m2</t>
  </si>
  <si>
    <t>58ZAFIRO 2</t>
  </si>
  <si>
    <t>PBB | Z2 | 58 |190.56m2</t>
  </si>
  <si>
    <t>59ZAFIRO 2</t>
  </si>
  <si>
    <t>PBB | Z2 | 59 |243.78m2</t>
  </si>
  <si>
    <t>60ZAFIRO 2</t>
  </si>
  <si>
    <t>PBB | Z2 | 60 |213.53m2</t>
  </si>
  <si>
    <t>61ZAFIRO 2</t>
  </si>
  <si>
    <t>PBB | Z2 | 61 |249.42m2</t>
  </si>
  <si>
    <t>62ZAFIRO 2</t>
  </si>
  <si>
    <t>PBB | Z2 | 62 |220m2</t>
  </si>
  <si>
    <t>63ZAFIRO 2</t>
  </si>
  <si>
    <t>PBB | Z2 | 63 |236.33m2</t>
  </si>
  <si>
    <t>64ZAFIRO 2</t>
  </si>
  <si>
    <t>PBB | Z2 | 64 |221.2m2</t>
  </si>
  <si>
    <t>65ZAFIRO 2</t>
  </si>
  <si>
    <t>PBB | Z2 | 65 |207m2</t>
  </si>
  <si>
    <t>66ZAFIRO 2</t>
  </si>
  <si>
    <t>PBB | Z2 | 66 |207m2</t>
  </si>
  <si>
    <t>67ZAFIRO 2</t>
  </si>
  <si>
    <t>PBB | Z2 | 67 |207m2</t>
  </si>
  <si>
    <t>68ZAFIRO 2</t>
  </si>
  <si>
    <t>PBB | Z2 | 68 |207m2</t>
  </si>
  <si>
    <t>69ZAFIRO 2</t>
  </si>
  <si>
    <t>PBB | Z2 | 69 |207m2</t>
  </si>
  <si>
    <t>70ZAFIRO 2</t>
  </si>
  <si>
    <t>PBB | Z2 | 70 |207m2</t>
  </si>
  <si>
    <t>71ZAFIRO 2</t>
  </si>
  <si>
    <t>PBB | Z2 | 71 |221.2m2</t>
  </si>
  <si>
    <t>72ZAFIRO 2</t>
  </si>
  <si>
    <t>PBB | Z2 | 72 |221.2m2</t>
  </si>
  <si>
    <t>73ZAFIRO 2</t>
  </si>
  <si>
    <t>PBB | Z2 | 73 |207m2</t>
  </si>
  <si>
    <t>74ZAFIRO 2</t>
  </si>
  <si>
    <t>PBB | Z2 | 74 |207m2</t>
  </si>
  <si>
    <t>75ZAFIRO 2</t>
  </si>
  <si>
    <t>PBB | Z2 | 75 |207m2</t>
  </si>
  <si>
    <t>76ZAFIRO 2</t>
  </si>
  <si>
    <t>PBB | Z2 | 76 |207m2</t>
  </si>
  <si>
    <t>77ZAFIRO 2</t>
  </si>
  <si>
    <t>PBB | Z2 | 77 |207m2</t>
  </si>
  <si>
    <t>78ZAFIRO 2</t>
  </si>
  <si>
    <t>PBB | Z2 | 78 |207m2</t>
  </si>
  <si>
    <t>79ZAFIRO 2</t>
  </si>
  <si>
    <t>PBB | Z2 | 79 |221.2m2</t>
  </si>
  <si>
    <t>80ZAFIRO 2</t>
  </si>
  <si>
    <t>PBB | Z2 | 80 |193.96m2</t>
  </si>
  <si>
    <t>81ZAFIRO 2</t>
  </si>
  <si>
    <t>PBB | Z2 | 81 |180m2</t>
  </si>
  <si>
    <t>82ZAFIRO 2</t>
  </si>
  <si>
    <t>PBB | Z2 | 82 |180m2</t>
  </si>
  <si>
    <t>83ZAFIRO 2</t>
  </si>
  <si>
    <t>PBB | Z2 | 83 |180m2</t>
  </si>
  <si>
    <t>84ZAFIRO 2</t>
  </si>
  <si>
    <t>PBB | Z2 | 84 |180m2</t>
  </si>
  <si>
    <t>85ZAFIRO 2</t>
  </si>
  <si>
    <t>PBB | Z2 | 85 |180m2</t>
  </si>
  <si>
    <t>86ZAFIRO 2</t>
  </si>
  <si>
    <t>PBB | Z2 | 86 |180m2</t>
  </si>
  <si>
    <t>87ZAFIRO 2</t>
  </si>
  <si>
    <t>PBB | Z2 | 87 |190.74m2</t>
  </si>
  <si>
    <t>88ZAFIRO 2</t>
  </si>
  <si>
    <t>PBB | Z2 | 88 |190.74m2</t>
  </si>
  <si>
    <t>89ZAFIRO 2</t>
  </si>
  <si>
    <t>PBB | Z2 | 89 |180m2</t>
  </si>
  <si>
    <t>90ZAFIRO 2</t>
  </si>
  <si>
    <t>PBB | Z2 | 90 |180m2</t>
  </si>
  <si>
    <t>91ZAFIRO 2</t>
  </si>
  <si>
    <t>PBB | Z2 | 91 |180m2</t>
  </si>
  <si>
    <t>92ZAFIRO 2</t>
  </si>
  <si>
    <t>PBB | Z2 | 92 |180m2</t>
  </si>
  <si>
    <t>93ZAFIRO 2</t>
  </si>
  <si>
    <t>PBB | Z2 | 93 |180m2</t>
  </si>
  <si>
    <t>94ZAFIRO 2</t>
  </si>
  <si>
    <t>PBB | Z2 | 94 |180m2</t>
  </si>
  <si>
    <t>95ZAFIRO 2</t>
  </si>
  <si>
    <t>PBB | Z2 | 95 |193.96m2</t>
  </si>
  <si>
    <t>Columna1</t>
  </si>
  <si>
    <t>Columna2</t>
  </si>
  <si>
    <t>KAM</t>
  </si>
  <si>
    <t>EQUIPO INTERNO</t>
  </si>
  <si>
    <t>CONT-CENTER</t>
  </si>
  <si>
    <t>N/A</t>
  </si>
  <si>
    <t>CDMX</t>
  </si>
  <si>
    <t>CDMX NORTE</t>
  </si>
  <si>
    <t>Nota: Verificar lineamientos de comisiones entregados previamente, no se aceptará ninguna hoja desprotegida ni alterada</t>
  </si>
  <si>
    <t>FACTURA</t>
  </si>
  <si>
    <t>COMERCIALIZADORA</t>
  </si>
  <si>
    <t>EFECTIVO</t>
  </si>
  <si>
    <t>BONO DE TIERRA</t>
  </si>
  <si>
    <t>CLIENTE LEAL</t>
  </si>
  <si>
    <t>NEXIMO</t>
  </si>
  <si>
    <t>EXPO</t>
  </si>
  <si>
    <t>PAGINA WEB</t>
  </si>
  <si>
    <t>RECOMENDACIÓN</t>
  </si>
  <si>
    <t>BASE DE DATOS</t>
  </si>
  <si>
    <t>REDES SOCIALES</t>
  </si>
  <si>
    <t>BROKERS</t>
  </si>
  <si>
    <t>CHAT</t>
  </si>
  <si>
    <t>GUARDIAS</t>
  </si>
  <si>
    <t>MARKETING</t>
  </si>
  <si>
    <t>DEPTO : COMERCIALIZACIÓN</t>
  </si>
  <si>
    <t>LILIA CRICLIVSCAIA</t>
  </si>
  <si>
    <t>ANGELA GARCIA CISNEROS</t>
  </si>
  <si>
    <t>KARINA PAOLA GUSI TORRES</t>
  </si>
  <si>
    <t>1MALAQUITA 1</t>
  </si>
  <si>
    <t>PBB | M1 | 1 |179.77m2</t>
  </si>
  <si>
    <t>2MALAQUITA 1</t>
  </si>
  <si>
    <t>PBB | M1 | 2 |180m2</t>
  </si>
  <si>
    <t>3MALAQUITA 1</t>
  </si>
  <si>
    <t>PBB | M1 | 3 |180m2</t>
  </si>
  <si>
    <t>4MALAQUITA 1</t>
  </si>
  <si>
    <t>PBB | M1 | 4 |180m2</t>
  </si>
  <si>
    <t>5MALAQUITA 1</t>
  </si>
  <si>
    <t>PBB | M1 | 5 |180m2</t>
  </si>
  <si>
    <t>6MALAQUITA 1</t>
  </si>
  <si>
    <t>PBB | M1 | 6 |180m2</t>
  </si>
  <si>
    <t>7MALAQUITA 1</t>
  </si>
  <si>
    <t>PBB | M1 | 7 |180m2</t>
  </si>
  <si>
    <t>8MALAQUITA 1</t>
  </si>
  <si>
    <t>PBB | M1 | 8 |180m2</t>
  </si>
  <si>
    <t>9MALAQUITA 1</t>
  </si>
  <si>
    <t>PBB | M1 | 9 |180m2</t>
  </si>
  <si>
    <t>10MALAQUITA 1</t>
  </si>
  <si>
    <t>PBB | M1 | 10 |182.92m2</t>
  </si>
  <si>
    <t>11MALAQUITA 1</t>
  </si>
  <si>
    <t>PBB | M1 | 11 |173.04m2</t>
  </si>
  <si>
    <t>12MALAQUITA 1</t>
  </si>
  <si>
    <t>PBB | M1 | 12 |180m2</t>
  </si>
  <si>
    <t>13MALAQUITA 1</t>
  </si>
  <si>
    <t>PBB | M1 | 13 |180m2</t>
  </si>
  <si>
    <t>14MALAQUITA 1</t>
  </si>
  <si>
    <t>PBB | M1 | 14 |180m2</t>
  </si>
  <si>
    <t>15MALAQUITA 1</t>
  </si>
  <si>
    <t>PBB | M1 | 15 |160m2</t>
  </si>
  <si>
    <t>16MALAQUITA 1</t>
  </si>
  <si>
    <t>PBB | M1 | 16 |160m2</t>
  </si>
  <si>
    <t>17MALAQUITA 1</t>
  </si>
  <si>
    <t>PBB | M1 | 17 |160m2</t>
  </si>
  <si>
    <t>18MALAQUITA 1</t>
  </si>
  <si>
    <t>PBB | M1 | 18 |160m2</t>
  </si>
  <si>
    <t>19MALAQUITA 1</t>
  </si>
  <si>
    <t>PBB | M1 | 19 |160m2</t>
  </si>
  <si>
    <t>20MALAQUITA 1</t>
  </si>
  <si>
    <t>PBB | M1 | 20 |160m2</t>
  </si>
  <si>
    <t>21MALAQUITA 1</t>
  </si>
  <si>
    <t>PBB | M1 | 21 |160m2</t>
  </si>
  <si>
    <t>22MALAQUITA 1</t>
  </si>
  <si>
    <t>PBB | M1 | 22 |160m2</t>
  </si>
  <si>
    <t>23MALAQUITA 1</t>
  </si>
  <si>
    <t>PBB | M1 | 23 |216.98m2</t>
  </si>
  <si>
    <t>24MALAQUITA 1</t>
  </si>
  <si>
    <t>PBB | M1 | 24 |180m2</t>
  </si>
  <si>
    <t>25MALAQUITA 1</t>
  </si>
  <si>
    <t>PBB | M1 | 25 |180m2</t>
  </si>
  <si>
    <t>26MALAQUITA 1</t>
  </si>
  <si>
    <t>PBB | M1 | 26 |180m2</t>
  </si>
  <si>
    <t>27MALAQUITA 1</t>
  </si>
  <si>
    <t>PBB | M1 | 27 |180m2</t>
  </si>
  <si>
    <t>28MALAQUITA 1</t>
  </si>
  <si>
    <t>PBB | M1 | 28 |286.51m2</t>
  </si>
  <si>
    <t>29MALAQUITA 1</t>
  </si>
  <si>
    <t>PBB | M1 | 29 |160m2</t>
  </si>
  <si>
    <t>30MALAQUITA 1</t>
  </si>
  <si>
    <t>PBB | M1 | 30 |160m2</t>
  </si>
  <si>
    <t>31MALAQUITA 1</t>
  </si>
  <si>
    <t>PBB | M1 | 31 |160m2</t>
  </si>
  <si>
    <t>32MALAQUITA 1</t>
  </si>
  <si>
    <t>PBB | M1 | 32 |160m2</t>
  </si>
  <si>
    <t>33MALAQUITA 1</t>
  </si>
  <si>
    <t>PBB | M1 | 33 |160m2</t>
  </si>
  <si>
    <t>34MALAQUITA 1</t>
  </si>
  <si>
    <t>PBB | M1 | 34 |160m2</t>
  </si>
  <si>
    <t>35MALAQUITA 1</t>
  </si>
  <si>
    <t>PBB | M1 | 35 |160m2</t>
  </si>
  <si>
    <t>36MALAQUITA 1</t>
  </si>
  <si>
    <t>PBB | M1 | 36 |160m2</t>
  </si>
  <si>
    <t>37MALAQUITA 1</t>
  </si>
  <si>
    <t>PBB | M1 | 37 |160m2</t>
  </si>
  <si>
    <t>38MALAQUITA 1</t>
  </si>
  <si>
    <t>PBB | M1 | 38 |160m2</t>
  </si>
  <si>
    <t>39MALAQUITA 1</t>
  </si>
  <si>
    <t>PBB | M1 | 39 |160m2</t>
  </si>
  <si>
    <t>40MALAQUITA 1</t>
  </si>
  <si>
    <t>PBB | M1 | 40 |160m2</t>
  </si>
  <si>
    <t>41MALAQUITA 1</t>
  </si>
  <si>
    <t>PBB | M1 | 41 |160m2</t>
  </si>
  <si>
    <t>42MALAQUITA 1</t>
  </si>
  <si>
    <t>PBB | M1 | 42 |160m2</t>
  </si>
  <si>
    <t>43MALAQUITA 1</t>
  </si>
  <si>
    <t>PBB | M1 | 43 |160m2</t>
  </si>
  <si>
    <t>44MALAQUITA 1</t>
  </si>
  <si>
    <t>PBB | M1 | 44 |160m2</t>
  </si>
  <si>
    <t>45MALAQUITA 1</t>
  </si>
  <si>
    <t>PBB | M1 | 45 |180m2</t>
  </si>
  <si>
    <t>46MALAQUITA 1</t>
  </si>
  <si>
    <t>PBB | M1 | 46 |180m2</t>
  </si>
  <si>
    <t>47MALAQUITA 1</t>
  </si>
  <si>
    <t>PBB | M1 | 47 |180m2</t>
  </si>
  <si>
    <t>48MALAQUITA 1</t>
  </si>
  <si>
    <t>PBB | M1 | 48 |180m2</t>
  </si>
  <si>
    <t>49MALAQUITA 1</t>
  </si>
  <si>
    <t>PBB | M1 | 49 |180m2</t>
  </si>
  <si>
    <t>50MALAQUITA 1</t>
  </si>
  <si>
    <t>PBB | M1 | 50 |180m2</t>
  </si>
  <si>
    <t>51MALAQUITA 1</t>
  </si>
  <si>
    <t>PBB | M1 | 51 |178.81m2</t>
  </si>
  <si>
    <t>52MALAQUITA 1</t>
  </si>
  <si>
    <t>PBB | M1 | 52 |171.38m2</t>
  </si>
  <si>
    <t>53MALAQUITA 1</t>
  </si>
  <si>
    <t>PBB | M1 | 53 |163.88m2</t>
  </si>
  <si>
    <t>54MALAQUITA 1</t>
  </si>
  <si>
    <t>PBB | M1 | 54 |163.88m2</t>
  </si>
  <si>
    <t>55MALAQUITA 1</t>
  </si>
  <si>
    <t>PBB | M1 | 55 |163.88m2</t>
  </si>
  <si>
    <t>56MALAQUITA 1</t>
  </si>
  <si>
    <t>PBB | M1 | 56 |163.88m2</t>
  </si>
  <si>
    <t>57MALAQUITA 1</t>
  </si>
  <si>
    <t>PBB | M1 | 57 |163.88m2</t>
  </si>
  <si>
    <t>58MALAQUITA 1</t>
  </si>
  <si>
    <t>PBB | M1 | 58 |163.88m2</t>
  </si>
  <si>
    <t>59MALAQUITA 1</t>
  </si>
  <si>
    <t>PBB | M1 | 59 |163.88m2</t>
  </si>
  <si>
    <t>60MALAQUITA 1</t>
  </si>
  <si>
    <t>PBB | M1 | 60 |227.98m2</t>
  </si>
  <si>
    <t>61MALAQUITA 1</t>
  </si>
  <si>
    <t>PBB | M1 | 61 |207m2</t>
  </si>
  <si>
    <t>62MALAQUITA 1</t>
  </si>
  <si>
    <t>PBB | M1 | 62 |207m2</t>
  </si>
  <si>
    <t>63MALAQUITA 1</t>
  </si>
  <si>
    <t>PBB | M1 | 63 |207m2</t>
  </si>
  <si>
    <t>64MALAQUITA 1</t>
  </si>
  <si>
    <t>PBB | M1 | 64 |207m2</t>
  </si>
  <si>
    <t>65MALAQUITA 1</t>
  </si>
  <si>
    <t>PBB | M1 | 65 |207m2</t>
  </si>
  <si>
    <t>66MALAQUITA 1</t>
  </si>
  <si>
    <t>PBB | M1 | 66 |207m2</t>
  </si>
  <si>
    <t>67MALAQUITA 1</t>
  </si>
  <si>
    <t>PBB | M1 | 67 |207m2</t>
  </si>
  <si>
    <t>68MALAQUITA 1</t>
  </si>
  <si>
    <t>PBB | M1 | 68 |207m2</t>
  </si>
  <si>
    <t>69MALAQUITA 1</t>
  </si>
  <si>
    <t>PBB | M1 | 69 |207m2</t>
  </si>
  <si>
    <t>70MALAQUITA 1</t>
  </si>
  <si>
    <t>PBB | M1 | 70 |207m2</t>
  </si>
  <si>
    <t>71MALAQUITA 1</t>
  </si>
  <si>
    <t>PBB | M1 | 71 |207m2</t>
  </si>
  <si>
    <t>72MALAQUITA 1</t>
  </si>
  <si>
    <t>PBB | M1 | 72 |207m2</t>
  </si>
  <si>
    <t>73MALAQUITA 1</t>
  </si>
  <si>
    <t>PBB | M1 | 73 |207m2</t>
  </si>
  <si>
    <t>74MALAQUITA 1</t>
  </si>
  <si>
    <t>PBB | M1 | 74 |206.79m2</t>
  </si>
  <si>
    <t>75MALAQUITA 1</t>
  </si>
  <si>
    <t>PBB | M1 | 75 |179.54m2</t>
  </si>
  <si>
    <t>76MALAQUITA 1</t>
  </si>
  <si>
    <t>PBB | M1 | 76 |180m2</t>
  </si>
  <si>
    <t>77MALAQUITA 1</t>
  </si>
  <si>
    <t>PBB | M1 | 77 |180m2</t>
  </si>
  <si>
    <t>78MALAQUITA 1</t>
  </si>
  <si>
    <t>PBB | M1 | 78 |180m2</t>
  </si>
  <si>
    <t>79MALAQUITA 1</t>
  </si>
  <si>
    <t>PBB | M1 | 79 |160m2</t>
  </si>
  <si>
    <t>80MALAQUITA 1</t>
  </si>
  <si>
    <t>PBB | M1 | 80 |160m2</t>
  </si>
  <si>
    <t>81MALAQUITA 1</t>
  </si>
  <si>
    <t>PBB | M1 | 81 |160m2</t>
  </si>
  <si>
    <t>82MALAQUITA 1</t>
  </si>
  <si>
    <t>PBB | M1 | 82 |160m2</t>
  </si>
  <si>
    <t>83MALAQUITA 1</t>
  </si>
  <si>
    <t>PBB | M1 | 83 |160m2</t>
  </si>
  <si>
    <t>84MALAQUITA 1</t>
  </si>
  <si>
    <t>PBB | M1 | 84 |160m2</t>
  </si>
  <si>
    <t>85MALAQUITA 1</t>
  </si>
  <si>
    <t>PBB | M1 | 85 |160m2</t>
  </si>
  <si>
    <t>86MALAQUITA 1</t>
  </si>
  <si>
    <t>PBB | M1 | 86 |160m2</t>
  </si>
  <si>
    <t>87MALAQUITA 1</t>
  </si>
  <si>
    <t>PBB | M1 | 87 |160m2</t>
  </si>
  <si>
    <t>88MALAQUITA 1</t>
  </si>
  <si>
    <t>PBB | M1 | 88 |160m2</t>
  </si>
  <si>
    <t>89MALAQUITA 1</t>
  </si>
  <si>
    <t>PBB | M1 | 89 |160m2</t>
  </si>
  <si>
    <t>90MALAQUITA 1</t>
  </si>
  <si>
    <t>PBB | M1 | 90 |160m2</t>
  </si>
  <si>
    <t>91MALAQUITA 1</t>
  </si>
  <si>
    <t>PBB | M1 | 91 |160m2</t>
  </si>
  <si>
    <t>92MALAQUITA 1</t>
  </si>
  <si>
    <t>PBB | M1 | 92 |183.45m2</t>
  </si>
  <si>
    <t>93MALAQUITA 1</t>
  </si>
  <si>
    <t>PBB | M1 | 93 |197.68m2</t>
  </si>
  <si>
    <t>94MALAQUITA 1</t>
  </si>
  <si>
    <t>PBB | M1 | 94 |180m2</t>
  </si>
  <si>
    <t>95MALAQUITA 1</t>
  </si>
  <si>
    <t>PBB | M1 | 95 |180m2</t>
  </si>
  <si>
    <t>96MALAQUITA 1</t>
  </si>
  <si>
    <t>PBB | M1 | 96 |180m2</t>
  </si>
  <si>
    <t>97MALAQUITA 1</t>
  </si>
  <si>
    <t>PBB | M1 | 97 |180m2</t>
  </si>
  <si>
    <t>98MALAQUITA 1</t>
  </si>
  <si>
    <t>PBB | M1 | 98 |180m2</t>
  </si>
  <si>
    <t>99MALAQUITA 1</t>
  </si>
  <si>
    <t>PBB | M1 | 99 |172.92m2</t>
  </si>
  <si>
    <t>100MALAQUITA 1</t>
  </si>
  <si>
    <t>PBB | M1 | 100 |233.8m2</t>
  </si>
  <si>
    <t>101MALAQUITA 1</t>
  </si>
  <si>
    <t>PBB | M1 | 101 |180m2</t>
  </si>
  <si>
    <t>102MALAQUITA 1</t>
  </si>
  <si>
    <t>PBB | M1 | 102 |180m2</t>
  </si>
  <si>
    <t>103MALAQUITA 1</t>
  </si>
  <si>
    <t>PBB | M1 | 103 |180m2</t>
  </si>
  <si>
    <t>104MALAQUITA 1</t>
  </si>
  <si>
    <t>PBB | M1 | 104 |180m2</t>
  </si>
  <si>
    <t>1MALAQUITA 2</t>
  </si>
  <si>
    <t>PBB | M2 | 1 |392.02m2</t>
  </si>
  <si>
    <t>2MALAQUITA 2</t>
  </si>
  <si>
    <t>PBB | M2 | 2 |207m2</t>
  </si>
  <si>
    <t>3MALAQUITA 2</t>
  </si>
  <si>
    <t>PBB | M2 | 3 |207m2</t>
  </si>
  <si>
    <t>4MALAQUITA 2</t>
  </si>
  <si>
    <t>PBB | M2 | 4 |207m2</t>
  </si>
  <si>
    <t>5MALAQUITA 2</t>
  </si>
  <si>
    <t>PBB | M2 | 5 |207m2</t>
  </si>
  <si>
    <t>6MALAQUITA 2</t>
  </si>
  <si>
    <t>PBB | M2 | 6 |207m2</t>
  </si>
  <si>
    <t>7MALAQUITA 2</t>
  </si>
  <si>
    <t>PBB | M2 | 7 |230m2</t>
  </si>
  <si>
    <t>8MALAQUITA 2</t>
  </si>
  <si>
    <t>PBB | M2 | 8 |230m2</t>
  </si>
  <si>
    <t>9MALAQUITA 2</t>
  </si>
  <si>
    <t>PBB | M2 | 9 |207m2</t>
  </si>
  <si>
    <t>10MALAQUITA 2</t>
  </si>
  <si>
    <t>PBB | M2 | 10 |207m2</t>
  </si>
  <si>
    <t>11MALAQUITA 2</t>
  </si>
  <si>
    <t>PBB | M2 | 11 |207m2</t>
  </si>
  <si>
    <t>12MALAQUITA 2</t>
  </si>
  <si>
    <t>PBB | M2 | 12 |207m2</t>
  </si>
  <si>
    <t>13MALAQUITA 2</t>
  </si>
  <si>
    <t>PBB | M2 | 13 |207m2</t>
  </si>
  <si>
    <t>14MALAQUITA 2</t>
  </si>
  <si>
    <t>PBB | M2 | 14 |207m2</t>
  </si>
  <si>
    <t>15MALAQUITA 2</t>
  </si>
  <si>
    <t>PBB | M2 | 15 |335.63m2</t>
  </si>
  <si>
    <t>16MALAQUITA 2</t>
  </si>
  <si>
    <t>PBB | M2 | 16 |319.41m2</t>
  </si>
  <si>
    <t>17MALAQUITA 2</t>
  </si>
  <si>
    <t>PBB | M2 | 17 |180m2</t>
  </si>
  <si>
    <t>18MALAQUITA 2</t>
  </si>
  <si>
    <t>PBB | M2 | 18 |160m2</t>
  </si>
  <si>
    <t>19MALAQUITA 2</t>
  </si>
  <si>
    <t>PBB | M2 | 19 |160m2</t>
  </si>
  <si>
    <t>20MALAQUITA 2</t>
  </si>
  <si>
    <t>PBB | M2 | 20 |160m2</t>
  </si>
  <si>
    <t>21MALAQUITA 2</t>
  </si>
  <si>
    <t>PBB | M2 | 21 |160m2</t>
  </si>
  <si>
    <t>22MALAQUITA 2</t>
  </si>
  <si>
    <t>PBB | M2 | 22 |160m2</t>
  </si>
  <si>
    <t>23MALAQUITA 2</t>
  </si>
  <si>
    <t>PBB | M2 | 23 |160m2</t>
  </si>
  <si>
    <t>24MALAQUITA 2</t>
  </si>
  <si>
    <t>PBB | M2 | 24 |160m2</t>
  </si>
  <si>
    <t>25MALAQUITA 2</t>
  </si>
  <si>
    <t>PBB | M2 | 25 |160m2</t>
  </si>
  <si>
    <t>26MALAQUITA 2</t>
  </si>
  <si>
    <t>PBB | M2 | 26 |160m2</t>
  </si>
  <si>
    <t>27MALAQUITA 2</t>
  </si>
  <si>
    <t>PBB | M2 | 27 |160m2</t>
  </si>
  <si>
    <t>28MALAQUITA 2</t>
  </si>
  <si>
    <t>PBB | M2 | 28 |160m2</t>
  </si>
  <si>
    <t>29MALAQUITA 2</t>
  </si>
  <si>
    <t>PBB | M2 | 29 |160m2</t>
  </si>
  <si>
    <t>30MALAQUITA 2</t>
  </si>
  <si>
    <t>PBB | M2 | 30 |160m2</t>
  </si>
  <si>
    <t>31MALAQUITA 2</t>
  </si>
  <si>
    <t>PBB | M2 | 31 |160m2</t>
  </si>
  <si>
    <t>32MALAQUITA 2</t>
  </si>
  <si>
    <t>PBB | M2 | 32 |166m2</t>
  </si>
  <si>
    <t>33MALAQUITA 2</t>
  </si>
  <si>
    <t>PBB | M2 | 33 |160.04m2</t>
  </si>
  <si>
    <t>34MALAQUITA 2</t>
  </si>
  <si>
    <t>PBB | M2 | 34 |160m2</t>
  </si>
  <si>
    <t>35MALAQUITA 2</t>
  </si>
  <si>
    <t>PBB | M2 | 35 |160m2</t>
  </si>
  <si>
    <t>36MALAQUITA 2</t>
  </si>
  <si>
    <t>PBB | M2 | 36 |160m2</t>
  </si>
  <si>
    <t>37MALAQUITA 2</t>
  </si>
  <si>
    <t>PBB | M2 | 37 |160m2</t>
  </si>
  <si>
    <t>38MALAQUITA 2</t>
  </si>
  <si>
    <t>PBB | M2 | 38 |160m2</t>
  </si>
  <si>
    <t>39MALAQUITA 2</t>
  </si>
  <si>
    <t>PBB | M2 | 39 |160m2</t>
  </si>
  <si>
    <t>40MALAQUITA 2</t>
  </si>
  <si>
    <t>PBB | M2 | 40 |160m2</t>
  </si>
  <si>
    <t>41MALAQUITA 2</t>
  </si>
  <si>
    <t>PBB | M2 | 41 |160m2</t>
  </si>
  <si>
    <t>42MALAQUITA 2</t>
  </si>
  <si>
    <t>PBB | M2 | 42 |160m2</t>
  </si>
  <si>
    <t>43MALAQUITA 2</t>
  </si>
  <si>
    <t>PBB | M2 | 43 |180m2</t>
  </si>
  <si>
    <t>44MALAQUITA 2</t>
  </si>
  <si>
    <t>PBB | M2 | 44 |180m2</t>
  </si>
  <si>
    <t>45MALAQUITA 2</t>
  </si>
  <si>
    <t>PBB | M2 | 45 |180m2</t>
  </si>
  <si>
    <t>46MALAQUITA 2</t>
  </si>
  <si>
    <t>PBB | M2 | 46 |229.75m2</t>
  </si>
  <si>
    <t>47MALAQUITA 2</t>
  </si>
  <si>
    <t>PBB | M2 | 47 |234.31m2</t>
  </si>
  <si>
    <t>48MALAQUITA 2</t>
  </si>
  <si>
    <t>PBB | M2 | 48 |163.88m2</t>
  </si>
  <si>
    <t>49MALAQUITA 2</t>
  </si>
  <si>
    <t>PBB | M2 | 49 |163.88m2</t>
  </si>
  <si>
    <t>50MALAQUITA 2</t>
  </si>
  <si>
    <t>PBB | M2 | 50 |163.88m2</t>
  </si>
  <si>
    <t>51MALAQUITA 2</t>
  </si>
  <si>
    <t>PBB | M2 | 51 |163.88m2</t>
  </si>
  <si>
    <t>52MALAQUITA 2</t>
  </si>
  <si>
    <t>PBB | M2 | 52 |163.88m2</t>
  </si>
  <si>
    <t>53MALAQUITA 2</t>
  </si>
  <si>
    <t>PBB | M2 | 53 |163.88m2</t>
  </si>
  <si>
    <t>54MALAQUITA 2</t>
  </si>
  <si>
    <t>PBB | M2 | 54 |163.88m2</t>
  </si>
  <si>
    <t>55MALAQUITA 2</t>
  </si>
  <si>
    <t>PBB | M2 | 55 |163.88m2</t>
  </si>
  <si>
    <t>56MALAQUITA 2</t>
  </si>
  <si>
    <t>PBB | M2 | 56 |163.88m2</t>
  </si>
  <si>
    <t>57MALAQUITA 2</t>
  </si>
  <si>
    <t>PBB | M2 | 57 |163.88m2</t>
  </si>
  <si>
    <t>58MALAQUITA 2</t>
  </si>
  <si>
    <t>PBB | M2 | 58 |163.88m2</t>
  </si>
  <si>
    <t>59MALAQUITA 2</t>
  </si>
  <si>
    <t>PBB | M2 | 59 |163.88m2</t>
  </si>
  <si>
    <t>60MALAQUITA 2</t>
  </si>
  <si>
    <t>PBB | M2 | 60 |163.88m2</t>
  </si>
  <si>
    <t>61MALAQUITA 2</t>
  </si>
  <si>
    <t>PBB | M2 | 61 |163.88m2</t>
  </si>
  <si>
    <t>62MALAQUITA 2</t>
  </si>
  <si>
    <t>PBB | M2 | 62 |163.88m2</t>
  </si>
  <si>
    <t>63MALAQUITA 2</t>
  </si>
  <si>
    <t>PBB | M2 | 63 |163.88m2</t>
  </si>
  <si>
    <t>64MALAQUITA 2</t>
  </si>
  <si>
    <t>PBB | M2 | 64 |163.88m2</t>
  </si>
  <si>
    <t>65MALAQUITA 2</t>
  </si>
  <si>
    <t>PBB | M2 | 65 |163.88m2</t>
  </si>
  <si>
    <t>66MALAQUITA 2</t>
  </si>
  <si>
    <t>PBB | M2 | 66 |163.88m2</t>
  </si>
  <si>
    <t>67MALAQUITA 2</t>
  </si>
  <si>
    <t>PBB | M2 | 67 |163.88m2</t>
  </si>
  <si>
    <t>68MALAQUITA 2</t>
  </si>
  <si>
    <t>PBB | M2 | 68 |245.04m2</t>
  </si>
  <si>
    <t>69MALAQUITA 2</t>
  </si>
  <si>
    <t>PBB | M2 | 69 |207m2</t>
  </si>
  <si>
    <t>70MALAQUITA 2</t>
  </si>
  <si>
    <t>PBB | M2 | 70 |207m2</t>
  </si>
  <si>
    <t>71MALAQUITA 2</t>
  </si>
  <si>
    <t>PBB | M2 | 71 |207m2</t>
  </si>
  <si>
    <t>72MALAQUITA 2</t>
  </si>
  <si>
    <t>PBB | M2 | 72 |207m2</t>
  </si>
  <si>
    <t>73MALAQUITA 2</t>
  </si>
  <si>
    <t>PBB | M2 | 73 |207m2</t>
  </si>
  <si>
    <t>74MALAQUITA 2</t>
  </si>
  <si>
    <t>PBB | M2 | 74 |207m2</t>
  </si>
  <si>
    <t>75MALAQUITA 2</t>
  </si>
  <si>
    <t>PBB | M2 | 75 |207m2</t>
  </si>
  <si>
    <t>76MALAQUITA 2</t>
  </si>
  <si>
    <t>PBB | M2 | 76 |207m2</t>
  </si>
  <si>
    <t>77MALAQUITA 2</t>
  </si>
  <si>
    <t>PBB | M2 | 77 |207m2</t>
  </si>
  <si>
    <t>78MALAQUITA 2</t>
  </si>
  <si>
    <t>PBB | M2 | 78 |207m2</t>
  </si>
  <si>
    <t>79MALAQUITA 2</t>
  </si>
  <si>
    <t>PBB | M2 | 79 |207m2</t>
  </si>
  <si>
    <t>80MALAQUITA 2</t>
  </si>
  <si>
    <t>PBB | M2 | 80 |207m2</t>
  </si>
  <si>
    <t>81MALAQUITA 2</t>
  </si>
  <si>
    <t>PBB | M2 | 81 |218.5m2</t>
  </si>
  <si>
    <t>82MALAQUITA 2</t>
  </si>
  <si>
    <t>PBB | M2 | 82 |218.5m2</t>
  </si>
  <si>
    <t>83MALAQUITA 2</t>
  </si>
  <si>
    <t>PBB | M2 | 83 |223.45m2</t>
  </si>
  <si>
    <t>84MALAQUITA 2</t>
  </si>
  <si>
    <t>PBB | M2 | 84 |181.15m2</t>
  </si>
  <si>
    <t>85MALAQUITA 2</t>
  </si>
  <si>
    <t>PBB | M2 | 85 |180m2</t>
  </si>
  <si>
    <t>86MALAQUITA 2</t>
  </si>
  <si>
    <t>PBB | M2 | 86 |180m2</t>
  </si>
  <si>
    <t>87MALAQUITA 2</t>
  </si>
  <si>
    <t>PBB | M2 | 87 |160m2</t>
  </si>
  <si>
    <t>88MALAQUITA 2</t>
  </si>
  <si>
    <t>PBB | M2 | 88 |160m2</t>
  </si>
  <si>
    <t>89MALAQUITA 2</t>
  </si>
  <si>
    <t>PBB | M2 | 89 |160m2</t>
  </si>
  <si>
    <t>90MALAQUITA 2</t>
  </si>
  <si>
    <t>PBB | M2 | 90 |160m2</t>
  </si>
  <si>
    <t>91MALAQUITA 2</t>
  </si>
  <si>
    <t>PBB | M2 | 91 |160m2</t>
  </si>
  <si>
    <t>92MALAQUITA 2</t>
  </si>
  <si>
    <t>PBB | M2 | 92 |160m2</t>
  </si>
  <si>
    <t>93MALAQUITA 2</t>
  </si>
  <si>
    <t>PBB | M2 | 93 |160m2</t>
  </si>
  <si>
    <t>94MALAQUITA 2</t>
  </si>
  <si>
    <t>PBB | M2 | 94 |160m2</t>
  </si>
  <si>
    <t>95MALAQUITA 2</t>
  </si>
  <si>
    <t>PBB | M2 | 95 |160m2</t>
  </si>
  <si>
    <t>96MALAQUITA 2</t>
  </si>
  <si>
    <t>PBB | M2 | 96 |180m2</t>
  </si>
  <si>
    <t>97MALAQUITA 2</t>
  </si>
  <si>
    <t>PBB | M2 | 97 |180m2</t>
  </si>
  <si>
    <t>98MALAQUITA 2</t>
  </si>
  <si>
    <t>PBB | M2 | 98 |180m2</t>
  </si>
  <si>
    <t>99MALAQUITA 2</t>
  </si>
  <si>
    <t>PBB | M2 | 99 |180m2</t>
  </si>
  <si>
    <t>100MALAQUITA 2</t>
  </si>
  <si>
    <t>PBB | M2 | 100 |180m2</t>
  </si>
  <si>
    <t>101MALAQUITA 2</t>
  </si>
  <si>
    <t>PBB | M2 | 101 |192.24m2</t>
  </si>
  <si>
    <t>102MALAQUITA 2</t>
  </si>
  <si>
    <t>PBB | M2 | 102 |203.87m2</t>
  </si>
  <si>
    <t>103MALAQUITA 2</t>
  </si>
  <si>
    <t>PBB | M2 | 103 |180m2</t>
  </si>
  <si>
    <t>104MALAQUITA 2</t>
  </si>
  <si>
    <t>PBB | M2 | 104 |180m2</t>
  </si>
  <si>
    <t>105MALAQUITA 2</t>
  </si>
  <si>
    <t>PBB | M2 | 105 |180m2</t>
  </si>
  <si>
    <t>106MALAQUITA 2</t>
  </si>
  <si>
    <t>PBB | M2 | 106 |180m2</t>
  </si>
  <si>
    <t>107MALAQUITA 2</t>
  </si>
  <si>
    <t>PBB | M2 | 107 |180m2</t>
  </si>
  <si>
    <t>108MALAQUITA 2</t>
  </si>
  <si>
    <t>PBB | M2 | 108 |180m2</t>
  </si>
  <si>
    <t>109MALAQUITA 2</t>
  </si>
  <si>
    <t>PBB | M2 | 109 |180m2</t>
  </si>
  <si>
    <t>110MALAQUITA 2</t>
  </si>
  <si>
    <t>PBB | M2 | 110 |180m2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</si>
</sst>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\ &quot;días&quot;"/>
    <numFmt numFmtId="165" formatCode="&quot;$&quot;#,##0.00"/>
    <numFmt numFmtId="166" formatCode="0.0%\ &quot;Pagada&quot;"/>
    <numFmt numFmtId="167" formatCode="0.0%"/>
    <numFmt numFmtId="168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0"/>
      <color theme="1"/>
      <name val="Wingdings"/>
      <charset val="2"/>
    </font>
    <font>
      <b/>
      <sz val="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13" fillId="0" borderId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4" fillId="2" borderId="0" xfId="1" applyFill="1"/>
    <xf numFmtId="0" fontId="4" fillId="2" borderId="0" xfId="1" applyFill="1" applyAlignment="1">
      <alignment vertical="top"/>
    </xf>
    <xf numFmtId="0" fontId="5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left" vertical="center"/>
    </xf>
    <xf numFmtId="164" fontId="4" fillId="2" borderId="0" xfId="1" applyNumberFormat="1" applyFill="1" applyAlignment="1">
      <alignment horizontal="center" vertical="top"/>
    </xf>
    <xf numFmtId="0" fontId="8" fillId="2" borderId="0" xfId="1" applyFont="1" applyFill="1"/>
    <xf numFmtId="0" fontId="9" fillId="2" borderId="0" xfId="1" applyFont="1" applyFill="1"/>
    <xf numFmtId="0" fontId="5" fillId="2" borderId="0" xfId="1" applyFont="1" applyFill="1" applyAlignment="1">
      <alignment vertical="top"/>
    </xf>
    <xf numFmtId="0" fontId="5" fillId="2" borderId="0" xfId="1" applyFont="1" applyFill="1"/>
    <xf numFmtId="0" fontId="4" fillId="2" borderId="0" xfId="1" applyFill="1" applyAlignment="1">
      <alignment horizontal="right"/>
    </xf>
    <xf numFmtId="165" fontId="4" fillId="2" borderId="0" xfId="1" applyNumberFormat="1" applyFill="1" applyAlignment="1">
      <alignment vertical="top"/>
    </xf>
    <xf numFmtId="165" fontId="4" fillId="2" borderId="0" xfId="1" applyNumberFormat="1" applyFill="1"/>
    <xf numFmtId="165" fontId="4" fillId="2" borderId="0" xfId="1" applyNumberFormat="1" applyFill="1" applyAlignment="1">
      <alignment horizontal="right"/>
    </xf>
    <xf numFmtId="166" fontId="5" fillId="2" borderId="0" xfId="2" applyNumberFormat="1" applyFont="1" applyFill="1" applyAlignment="1">
      <alignment horizontal="left"/>
    </xf>
    <xf numFmtId="0" fontId="4" fillId="2" borderId="0" xfId="1" applyFill="1" applyAlignment="1">
      <alignment horizontal="right" vertical="top"/>
    </xf>
    <xf numFmtId="0" fontId="5" fillId="2" borderId="0" xfId="1" applyFont="1" applyFill="1" applyAlignment="1">
      <alignment horizontal="left"/>
    </xf>
    <xf numFmtId="165" fontId="0" fillId="2" borderId="0" xfId="0" applyNumberFormat="1" applyFill="1"/>
    <xf numFmtId="10" fontId="8" fillId="2" borderId="0" xfId="1" applyNumberFormat="1" applyFont="1" applyFill="1" applyAlignment="1">
      <alignment horizontal="center" vertical="center"/>
    </xf>
    <xf numFmtId="165" fontId="16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right" vertical="center"/>
    </xf>
    <xf numFmtId="165" fontId="16" fillId="2" borderId="0" xfId="1" applyNumberFormat="1" applyFont="1" applyFill="1" applyAlignment="1">
      <alignment horizontal="left" vertical="center"/>
    </xf>
    <xf numFmtId="0" fontId="17" fillId="2" borderId="0" xfId="1" applyFont="1" applyFill="1" applyAlignment="1">
      <alignment horizontal="left" vertical="center"/>
    </xf>
    <xf numFmtId="0" fontId="17" fillId="2" borderId="0" xfId="1" applyFont="1" applyFill="1" applyAlignment="1">
      <alignment horizontal="left" vertical="center" indent="13"/>
    </xf>
    <xf numFmtId="0" fontId="18" fillId="2" borderId="1" xfId="1" applyFont="1" applyFill="1" applyBorder="1" applyAlignment="1">
      <alignment vertical="center"/>
    </xf>
    <xf numFmtId="10" fontId="3" fillId="2" borderId="0" xfId="1" applyNumberFormat="1" applyFont="1" applyFill="1" applyAlignment="1">
      <alignment horizontal="center"/>
    </xf>
    <xf numFmtId="165" fontId="20" fillId="2" borderId="0" xfId="1" applyNumberFormat="1" applyFont="1" applyFill="1" applyAlignment="1">
      <alignment horizontal="left"/>
    </xf>
    <xf numFmtId="165" fontId="21" fillId="2" borderId="0" xfId="1" applyNumberFormat="1" applyFont="1" applyFill="1" applyAlignment="1">
      <alignment horizontal="left"/>
    </xf>
    <xf numFmtId="15" fontId="20" fillId="2" borderId="0" xfId="1" applyNumberFormat="1" applyFont="1" applyFill="1" applyAlignment="1">
      <alignment horizontal="left"/>
    </xf>
    <xf numFmtId="0" fontId="1" fillId="2" borderId="0" xfId="1" applyFont="1" applyFill="1" applyAlignment="1">
      <alignment horizontal="right"/>
    </xf>
    <xf numFmtId="15" fontId="9" fillId="2" borderId="0" xfId="1" applyNumberFormat="1" applyFont="1" applyFill="1" applyAlignment="1">
      <alignment horizontal="left"/>
    </xf>
    <xf numFmtId="0" fontId="0" fillId="2" borderId="0" xfId="1" applyFont="1" applyFill="1" applyAlignment="1">
      <alignment horizontal="right"/>
    </xf>
    <xf numFmtId="0" fontId="8" fillId="2" borderId="0" xfId="1" applyFont="1" applyFill="1" applyAlignment="1">
      <alignment vertical="top"/>
    </xf>
    <xf numFmtId="0" fontId="0" fillId="2" borderId="0" xfId="1" applyFont="1" applyFill="1" applyAlignment="1">
      <alignment vertical="top"/>
    </xf>
    <xf numFmtId="0" fontId="0" fillId="2" borderId="0" xfId="0" applyFill="1" applyAlignment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/>
    <xf numFmtId="0" fontId="10" fillId="3" borderId="3" xfId="1" applyFont="1" applyFill="1" applyBorder="1" applyAlignment="1">
      <alignment horizontal="center" vertical="center"/>
    </xf>
    <xf numFmtId="0" fontId="10" fillId="3" borderId="4" xfId="1" applyFont="1" applyFill="1" applyBorder="1" applyAlignment="1">
      <alignment horizontal="center" vertical="center"/>
    </xf>
    <xf numFmtId="0" fontId="10" fillId="3" borderId="4" xfId="1" applyFont="1" applyFill="1" applyBorder="1" applyAlignment="1">
      <alignment horizontal="center" vertical="center" wrapText="1"/>
    </xf>
    <xf numFmtId="0" fontId="2" fillId="3" borderId="4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11" fillId="2" borderId="6" xfId="1" applyFont="1" applyFill="1" applyBorder="1" applyAlignment="1">
      <alignment horizontal="center"/>
    </xf>
    <xf numFmtId="0" fontId="11" fillId="2" borderId="2" xfId="1" applyFont="1" applyFill="1" applyBorder="1" applyAlignment="1">
      <alignment horizontal="center"/>
    </xf>
    <xf numFmtId="165" fontId="11" fillId="2" borderId="2" xfId="1" applyNumberFormat="1" applyFont="1" applyFill="1" applyBorder="1" applyAlignment="1">
      <alignment horizontal="center" vertical="top"/>
    </xf>
    <xf numFmtId="167" fontId="11" fillId="2" borderId="2" xfId="2" applyNumberFormat="1" applyFont="1" applyFill="1" applyBorder="1" applyAlignment="1">
      <alignment horizontal="center" vertical="top"/>
    </xf>
    <xf numFmtId="165" fontId="11" fillId="2" borderId="2" xfId="1" applyNumberFormat="1" applyFont="1" applyFill="1" applyBorder="1" applyAlignment="1">
      <alignment horizontal="center"/>
    </xf>
    <xf numFmtId="165" fontId="19" fillId="2" borderId="2" xfId="1" applyNumberFormat="1" applyFont="1" applyFill="1" applyBorder="1" applyAlignment="1">
      <alignment horizontal="center"/>
    </xf>
    <xf numFmtId="165" fontId="11" fillId="2" borderId="7" xfId="1" applyNumberFormat="1" applyFont="1" applyFill="1" applyBorder="1" applyAlignment="1">
      <alignment horizontal="center"/>
    </xf>
    <xf numFmtId="165" fontId="11" fillId="4" borderId="2" xfId="1" applyNumberFormat="1" applyFont="1" applyFill="1" applyBorder="1" applyAlignment="1">
      <alignment horizontal="center"/>
    </xf>
    <xf numFmtId="0" fontId="14" fillId="2" borderId="6" xfId="4" applyFont="1" applyFill="1" applyBorder="1" applyAlignment="1">
      <alignment horizontal="center"/>
    </xf>
    <xf numFmtId="10" fontId="14" fillId="2" borderId="2" xfId="5" applyNumberFormat="1" applyFont="1" applyFill="1" applyBorder="1" applyAlignment="1">
      <alignment horizontal="center" vertical="top"/>
    </xf>
    <xf numFmtId="0" fontId="11" fillId="2" borderId="2" xfId="4" applyFont="1" applyFill="1" applyBorder="1" applyAlignment="1">
      <alignment horizontal="center"/>
    </xf>
    <xf numFmtId="0" fontId="14" fillId="2" borderId="8" xfId="4" applyFont="1" applyFill="1" applyBorder="1" applyAlignment="1">
      <alignment horizontal="center"/>
    </xf>
    <xf numFmtId="0" fontId="11" fillId="2" borderId="9" xfId="4" applyFont="1" applyFill="1" applyBorder="1" applyAlignment="1">
      <alignment horizontal="center"/>
    </xf>
    <xf numFmtId="165" fontId="11" fillId="2" borderId="9" xfId="1" applyNumberFormat="1" applyFont="1" applyFill="1" applyBorder="1" applyAlignment="1">
      <alignment horizontal="center" vertical="top"/>
    </xf>
    <xf numFmtId="167" fontId="14" fillId="2" borderId="9" xfId="5" applyNumberFormat="1" applyFont="1" applyFill="1" applyBorder="1" applyAlignment="1">
      <alignment horizontal="center" vertical="top"/>
    </xf>
    <xf numFmtId="165" fontId="11" fillId="2" borderId="9" xfId="1" applyNumberFormat="1" applyFont="1" applyFill="1" applyBorder="1" applyAlignment="1">
      <alignment horizontal="center"/>
    </xf>
    <xf numFmtId="165" fontId="11" fillId="4" borderId="9" xfId="1" applyNumberFormat="1" applyFont="1" applyFill="1" applyBorder="1" applyAlignment="1">
      <alignment horizontal="center"/>
    </xf>
    <xf numFmtId="165" fontId="11" fillId="2" borderId="10" xfId="1" applyNumberFormat="1" applyFont="1" applyFill="1" applyBorder="1" applyAlignment="1">
      <alignment horizontal="center"/>
    </xf>
    <xf numFmtId="0" fontId="12" fillId="2" borderId="2" xfId="1" applyFont="1" applyFill="1" applyBorder="1" applyAlignment="1" applyProtection="1">
      <alignment horizontal="center" vertical="top"/>
      <protection hidden="1"/>
    </xf>
    <xf numFmtId="9" fontId="11" fillId="2" borderId="2" xfId="6" applyFont="1" applyFill="1" applyBorder="1" applyAlignment="1">
      <alignment horizontal="center" vertical="top"/>
    </xf>
    <xf numFmtId="0" fontId="12" fillId="2" borderId="9" xfId="1" applyFont="1" applyFill="1" applyBorder="1" applyAlignment="1" applyProtection="1">
      <alignment horizontal="center" vertical="top"/>
      <protection hidden="1"/>
    </xf>
    <xf numFmtId="0" fontId="11" fillId="2" borderId="2" xfId="1" applyFont="1" applyFill="1" applyBorder="1" applyAlignment="1" applyProtection="1">
      <alignment horizontal="center"/>
      <protection hidden="1"/>
    </xf>
    <xf numFmtId="0" fontId="4" fillId="2" borderId="0" xfId="1" applyFill="1" applyProtection="1">
      <protection hidden="1"/>
    </xf>
    <xf numFmtId="0" fontId="4" fillId="2" borderId="0" xfId="1" applyFill="1" applyAlignment="1" applyProtection="1">
      <alignment horizontal="center" vertical="top"/>
      <protection hidden="1"/>
    </xf>
    <xf numFmtId="0" fontId="18" fillId="2" borderId="1" xfId="1" applyFont="1" applyFill="1" applyBorder="1" applyAlignment="1" applyProtection="1">
      <alignment vertical="center"/>
      <protection hidden="1"/>
    </xf>
    <xf numFmtId="0" fontId="0" fillId="2" borderId="0" xfId="1" applyFont="1" applyFill="1" applyProtection="1">
      <protection hidden="1"/>
    </xf>
    <xf numFmtId="0" fontId="0" fillId="5" borderId="0" xfId="1" applyFont="1" applyFill="1" applyProtection="1">
      <protection hidden="1"/>
    </xf>
    <xf numFmtId="0" fontId="4" fillId="2" borderId="0" xfId="1" applyFill="1" applyAlignment="1" applyProtection="1">
      <alignment vertical="top"/>
      <protection hidden="1"/>
    </xf>
    <xf numFmtId="0" fontId="0" fillId="2" borderId="0" xfId="1" applyFont="1" applyFill="1"/>
    <xf numFmtId="0" fontId="0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horizontal="left" vertical="center"/>
    </xf>
    <xf numFmtId="168" fontId="7" fillId="2" borderId="0" xfId="1" applyNumberFormat="1" applyFont="1" applyFill="1" applyAlignment="1">
      <alignment horizontal="center" vertical="center"/>
    </xf>
  </cellXfs>
  <cellStyles count="7">
    <cellStyle name="Normal" xfId="0" builtinId="0"/>
    <cellStyle name="Normal 2" xfId="1" xr:uid="{00000000-0005-0000-0000-000001000000}"/>
    <cellStyle name="Normal 3" xfId="3" xr:uid="{00000000-0005-0000-0000-000002000000}"/>
    <cellStyle name="Normal 3 2" xfId="4" xr:uid="{00000000-0005-0000-0000-000003000000}"/>
    <cellStyle name="Porcentaje" xfId="6" builtinId="5"/>
    <cellStyle name="Porcentaje 2" xfId="2" xr:uid="{00000000-0005-0000-0000-000004000000}"/>
    <cellStyle name="Porcentaje 3 2" xfId="5" xr:uid="{00000000-0005-0000-0000-000005000000}"/>
  </cellStyles>
  <dxfs count="88"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protection locked="1" hidden="1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protection locked="1" hidden="1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protection locked="1" hidden="1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protection locked="1" hidden="1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</xdr:row>
      <xdr:rowOff>0</xdr:rowOff>
    </xdr:from>
    <xdr:ext cx="304800" cy="76200"/>
    <xdr:sp macro="" textlink="">
      <xdr:nvSpPr>
        <xdr:cNvPr id="2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3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4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5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6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7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8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9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0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1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2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3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4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5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</xdr:row>
      <xdr:rowOff>0</xdr:rowOff>
    </xdr:from>
    <xdr:ext cx="304800" cy="304800"/>
    <xdr:sp macro="" textlink="">
      <xdr:nvSpPr>
        <xdr:cNvPr id="16" name="Autoforma 1" descr="Resultado de imagen para poligrua s.a. de c.v.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spect="1" noChangeArrowheads="1"/>
        </xdr:cNvSpPr>
      </xdr:nvSpPr>
      <xdr:spPr>
        <a:xfrm>
          <a:off x="155352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1</xdr:col>
      <xdr:colOff>2065985</xdr:colOff>
      <xdr:row>44</xdr:row>
      <xdr:rowOff>40246</xdr:rowOff>
    </xdr:from>
    <xdr:to>
      <xdr:col>3</xdr:col>
      <xdr:colOff>1274471</xdr:colOff>
      <xdr:row>44</xdr:row>
      <xdr:rowOff>53661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3716091" y="10209190"/>
          <a:ext cx="3045317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630528</xdr:colOff>
      <xdr:row>44</xdr:row>
      <xdr:rowOff>0</xdr:rowOff>
    </xdr:from>
    <xdr:to>
      <xdr:col>8</xdr:col>
      <xdr:colOff>456126</xdr:colOff>
      <xdr:row>44</xdr:row>
      <xdr:rowOff>13415</xdr:rowOff>
    </xdr:to>
    <xdr:cxnSp macro="">
      <xdr:nvCxnSpPr>
        <xdr:cNvPr id="20" name="Conector rec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9659155" y="10168944"/>
          <a:ext cx="3085563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778098</xdr:colOff>
      <xdr:row>56</xdr:row>
      <xdr:rowOff>174402</xdr:rowOff>
    </xdr:from>
    <xdr:to>
      <xdr:col>8</xdr:col>
      <xdr:colOff>536619</xdr:colOff>
      <xdr:row>57</xdr:row>
      <xdr:rowOff>0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V="1">
          <a:off x="9806725" y="12597148"/>
          <a:ext cx="3018486" cy="134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1998908</xdr:colOff>
      <xdr:row>55</xdr:row>
      <xdr:rowOff>134154</xdr:rowOff>
    </xdr:from>
    <xdr:to>
      <xdr:col>3</xdr:col>
      <xdr:colOff>1220810</xdr:colOff>
      <xdr:row>55</xdr:row>
      <xdr:rowOff>147570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3649014" y="12369084"/>
          <a:ext cx="3058733" cy="134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2052569</xdr:colOff>
      <xdr:row>44</xdr:row>
      <xdr:rowOff>107323</xdr:rowOff>
    </xdr:from>
    <xdr:to>
      <xdr:col>3</xdr:col>
      <xdr:colOff>1274471</xdr:colOff>
      <xdr:row>49</xdr:row>
      <xdr:rowOff>13415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702675" y="10276267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Solicita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Líder Control y Medición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Ing.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Marisol Guerrero Zea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5</xdr:col>
      <xdr:colOff>635357</xdr:colOff>
      <xdr:row>44</xdr:row>
      <xdr:rowOff>98737</xdr:rowOff>
    </xdr:from>
    <xdr:to>
      <xdr:col>8</xdr:col>
      <xdr:colOff>434125</xdr:colOff>
      <xdr:row>49</xdr:row>
      <xdr:rowOff>4829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663984" y="10267681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AUTORIZA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CCO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Comercialización 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Arq.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Juan Carlos Romo García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1</xdr:col>
      <xdr:colOff>2003738</xdr:colOff>
      <xdr:row>56</xdr:row>
      <xdr:rowOff>18248</xdr:rowOff>
    </xdr:from>
    <xdr:to>
      <xdr:col>3</xdr:col>
      <xdr:colOff>1225640</xdr:colOff>
      <xdr:row>60</xdr:row>
      <xdr:rowOff>112156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653844" y="12440994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Aux Admon </a:t>
          </a:r>
          <a:endParaRPr lang="es-MX" sz="1400">
            <a:effectLst/>
          </a:endParaRPr>
        </a:p>
        <a:p>
          <a:pPr algn="ctr" eaLnBrk="1" fontAlgn="auto" latinLnBrk="0" hangingPunct="1"/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Lic. 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rancelia Atanacio Rios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5</xdr:col>
      <xdr:colOff>747510</xdr:colOff>
      <xdr:row>57</xdr:row>
      <xdr:rowOff>49905</xdr:rowOff>
    </xdr:from>
    <xdr:to>
      <xdr:col>8</xdr:col>
      <xdr:colOff>546278</xdr:colOff>
      <xdr:row>61</xdr:row>
      <xdr:rowOff>143813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9776137" y="12660468"/>
          <a:ext cx="3058733" cy="845176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 Bo</a:t>
          </a:r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Gerente Administración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endParaRPr lang="es-MX" sz="1400">
            <a:effectLst/>
          </a:endParaRPr>
        </a:p>
        <a:p>
          <a:pPr algn="ctr"/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Lic. Mauricio</a:t>
          </a:r>
          <a:r>
            <a:rPr lang="es-MX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Rojano Mata</a:t>
          </a:r>
          <a:endParaRPr lang="es-MX" sz="1400">
            <a:effectLst/>
          </a:endParaRPr>
        </a:p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02965A-A1C4-4EA3-9C71-77D42194398F}" name="COMISIONES" displayName="COMISIONES" ref="B19:J27" totalsRowShown="0" headerRowDxfId="16" headerRowBorderDxfId="15" tableBorderDxfId="14" totalsRowBorderDxfId="13" headerRowCellStyle="Normal 2">
  <autoFilter ref="B19:J27" xr:uid="{CF02965A-A1C4-4EA3-9C71-77D42194398F}"/>
  <tableColumns count="9">
    <tableColumn id="1" xr3:uid="{5A276BCE-9015-4C1C-A41D-7612212B64FD}" name="COMISIONISTA" dataDxfId="12">
      <calculatedColumnFormula array="1">_xlfn.IFS(C16=P31,Q19,C16=P32,Q20)</calculatedColumnFormula>
    </tableColumn>
    <tableColumn id="2" xr3:uid="{A2DA3FCD-1648-4D19-AA30-4D6F772C6C25}" name="PUESTO" dataDxfId="11"/>
    <tableColumn id="3" xr3:uid="{BBDB93EB-E9D8-49CB-B3C6-E12510320B10}" name="LOTE" dataDxfId="10"/>
    <tableColumn id="4" xr3:uid="{ECA2E40A-A47C-456D-A6E9-4CC514C4235D}" name="IMPORTE A COMISIONAR" dataDxfId="9"/>
    <tableColumn id="5" xr3:uid="{9507C231-34D7-4B38-A261-2AE9253B5FEB}" name="% COMISIÓN " dataDxfId="8"/>
    <tableColumn id="6" xr3:uid="{C673A43C-5588-4284-A13D-26B1BBB26B67}" name="IMPORTE" dataDxfId="7"/>
    <tableColumn id="7" xr3:uid="{BE42516F-E922-4E9F-9A34-5E5E6BB0F55E}" name="TIPO DE PAGO" dataDxfId="6">
      <calculatedColumnFormula array="1">_xlfn.IFS($B20=$Q19,"FACTURA",$B20=$Q20,"COMERCIALIZADORA",$B20=$Q21,"FACTURA")</calculatedColumnFormula>
    </tableColumn>
    <tableColumn id="8" xr3:uid="{164895F4-9CAC-40F0-AC16-E4295FA6FDAA}" name="DESCUENTOS " dataDxfId="5"/>
    <tableColumn id="9" xr3:uid="{D3072E11-B7E0-4350-A03E-983D973C663E}" name="PAGAR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0E8CB8-E47E-4AF0-B5D6-7E5AEED82A61}" name="Tabla15" displayName="Tabla15" ref="M3:N3282" totalsRowShown="0" headerRowDxfId="3" dataDxfId="2" headerRowCellStyle="Normal 2" dataCellStyle="Normal 2">
  <autoFilter ref="M3:N3282" xr:uid="{C80E8CB8-E47E-4AF0-B5D6-7E5AEED82A61}"/>
  <tableColumns count="2">
    <tableColumn id="1" xr3:uid="{B90AAD4E-B0F2-48F8-8469-5A546C441A20}" name="Columna1" dataDxfId="1" dataCellStyle="Normal 2"/>
    <tableColumn id="2" xr3:uid="{D126BB18-4827-4013-ACA1-DD294DFDB317}" name="Columna2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3:U3282"/>
  <sheetViews>
    <sheetView tabSelected="1" zoomScale="60" zoomScaleNormal="60" zoomScaleSheetLayoutView="93" workbookViewId="0">
      <selection activeCell="H7" sqref="H7"/>
    </sheetView>
  </sheetViews>
  <sheetFormatPr baseColWidth="10" defaultColWidth="11.42578125" defaultRowHeight="15" x14ac:dyDescent="0.25"/>
  <cols>
    <col min="1" max="1" width="16.85546875" style="1" customWidth="1"/>
    <col min="2" max="2" width="35.85546875" style="1" customWidth="1"/>
    <col min="3" max="3" width="33.85546875" style="2" customWidth="1"/>
    <col min="4" max="4" width="34.42578125" style="2" customWidth="1"/>
    <col min="5" max="6" width="18.7109375" style="1" customWidth="1"/>
    <col min="7" max="7" width="16.28515625" style="3" bestFit="1" customWidth="1"/>
    <col min="8" max="8" width="30.5703125" style="3" bestFit="1" customWidth="1"/>
    <col min="9" max="9" width="20.28515625" style="1" customWidth="1"/>
    <col min="10" max="10" width="17.140625" style="1" customWidth="1"/>
    <col min="11" max="11" width="11.42578125" style="1"/>
    <col min="12" max="12" width="15.140625" style="64" customWidth="1"/>
    <col min="13" max="15" width="15.140625" style="64" hidden="1" customWidth="1"/>
    <col min="16" max="16" width="34.140625" style="64" hidden="1" customWidth="1"/>
    <col min="17" max="17" width="34.42578125" style="64" hidden="1" customWidth="1"/>
    <col min="18" max="18" width="16.140625" style="64" hidden="1" customWidth="1"/>
    <col min="19" max="19" width="19.85546875" style="64" hidden="1" customWidth="1"/>
    <col min="20" max="20" width="20.85546875" style="64" hidden="1" customWidth="1"/>
    <col min="21" max="21" width="15.140625" style="64" hidden="1" customWidth="1"/>
    <col min="22" max="16384" width="11.42578125" style="1"/>
  </cols>
  <sheetData>
    <row r="3" spans="2:21" ht="33.75" x14ac:dyDescent="0.25">
      <c r="B3" s="4" t="s">
        <v>0</v>
      </c>
      <c r="D3" s="5"/>
      <c r="G3" s="73">
        <f ca="1">TODAY()</f>
        <v>44902</v>
      </c>
      <c r="H3" s="73"/>
      <c r="I3" s="73"/>
      <c r="J3" s="73"/>
      <c r="M3" s="65" t="s">
        <v>6167</v>
      </c>
      <c r="N3" s="65" t="s">
        <v>6168</v>
      </c>
      <c r="P3" s="66" t="s">
        <v>17</v>
      </c>
    </row>
    <row r="4" spans="2:21" ht="28.5" x14ac:dyDescent="0.25">
      <c r="B4" s="24" t="s">
        <v>17</v>
      </c>
      <c r="D4" s="5"/>
      <c r="M4" s="65" t="s">
        <v>37</v>
      </c>
      <c r="N4" s="65" t="s">
        <v>38</v>
      </c>
      <c r="P4" s="66" t="s">
        <v>26</v>
      </c>
    </row>
    <row r="5" spans="2:21" ht="18.75" x14ac:dyDescent="0.3">
      <c r="B5" s="6" t="s">
        <v>6191</v>
      </c>
      <c r="M5" s="65" t="s">
        <v>39</v>
      </c>
      <c r="N5" s="65" t="s">
        <v>40</v>
      </c>
    </row>
    <row r="6" spans="2:21" x14ac:dyDescent="0.25">
      <c r="M6" s="65" t="s">
        <v>41</v>
      </c>
      <c r="N6" s="65" t="s">
        <v>42</v>
      </c>
      <c r="P6" s="67" t="s">
        <v>33</v>
      </c>
      <c r="Q6" s="67" t="s">
        <v>6187</v>
      </c>
    </row>
    <row r="7" spans="2:21" ht="23.25" customHeight="1" x14ac:dyDescent="0.25">
      <c r="B7" s="29" t="s">
        <v>16</v>
      </c>
      <c r="C7" s="7" t="s">
        <v>31</v>
      </c>
      <c r="D7" s="9"/>
      <c r="E7" s="9"/>
      <c r="M7" s="65" t="s">
        <v>43</v>
      </c>
      <c r="N7" s="65" t="s">
        <v>44</v>
      </c>
      <c r="P7" s="67" t="s">
        <v>35</v>
      </c>
      <c r="R7" s="67" t="s">
        <v>6183</v>
      </c>
      <c r="S7" s="67" t="s">
        <v>6185</v>
      </c>
      <c r="T7" s="67" t="s">
        <v>6186</v>
      </c>
      <c r="U7" s="67" t="s">
        <v>27</v>
      </c>
    </row>
    <row r="8" spans="2:21" ht="23.25" customHeight="1" x14ac:dyDescent="0.25">
      <c r="B8" s="29" t="s">
        <v>1</v>
      </c>
      <c r="C8" s="7"/>
      <c r="D8" s="71"/>
      <c r="E8" s="71"/>
      <c r="M8" s="65" t="s">
        <v>45</v>
      </c>
      <c r="N8" s="65" t="s">
        <v>46</v>
      </c>
      <c r="P8" s="64" t="s">
        <v>28</v>
      </c>
      <c r="Q8" s="67" t="s">
        <v>6180</v>
      </c>
      <c r="U8" s="67"/>
    </row>
    <row r="9" spans="2:21" ht="23.25" customHeight="1" x14ac:dyDescent="0.25">
      <c r="B9" s="29" t="s">
        <v>23</v>
      </c>
      <c r="C9" s="36"/>
      <c r="D9" s="33"/>
      <c r="E9" s="70"/>
      <c r="G9" s="35"/>
      <c r="H9" s="35"/>
      <c r="M9" s="65" t="s">
        <v>47</v>
      </c>
      <c r="N9" s="65" t="s">
        <v>48</v>
      </c>
      <c r="P9" s="64" t="s">
        <v>29</v>
      </c>
      <c r="Q9" s="67" t="s">
        <v>29</v>
      </c>
    </row>
    <row r="10" spans="2:21" ht="23.25" customHeight="1" x14ac:dyDescent="0.25">
      <c r="B10" s="29" t="s">
        <v>2</v>
      </c>
      <c r="C10" s="26"/>
      <c r="D10" s="11"/>
      <c r="E10" s="12"/>
      <c r="F10" s="12"/>
      <c r="M10" s="65" t="s">
        <v>49</v>
      </c>
      <c r="N10" s="65" t="s">
        <v>50</v>
      </c>
      <c r="P10" s="68" t="s">
        <v>6182</v>
      </c>
      <c r="Q10" s="67" t="s">
        <v>6182</v>
      </c>
      <c r="S10" s="67"/>
    </row>
    <row r="11" spans="2:21" ht="23.25" customHeight="1" x14ac:dyDescent="0.25">
      <c r="B11" s="29" t="s">
        <v>3</v>
      </c>
      <c r="C11" s="26"/>
      <c r="D11" s="13"/>
      <c r="E11" s="12"/>
      <c r="M11" s="65" t="s">
        <v>51</v>
      </c>
      <c r="N11" s="65" t="s">
        <v>52</v>
      </c>
      <c r="P11" s="64" t="s">
        <v>30</v>
      </c>
      <c r="Q11" s="67" t="s">
        <v>30</v>
      </c>
      <c r="S11" s="67"/>
    </row>
    <row r="12" spans="2:21" ht="23.25" customHeight="1" x14ac:dyDescent="0.25">
      <c r="B12" s="29" t="s">
        <v>4</v>
      </c>
      <c r="C12" s="26"/>
      <c r="D12" s="14"/>
      <c r="E12" s="12"/>
      <c r="M12" s="65" t="s">
        <v>53</v>
      </c>
      <c r="N12" s="65" t="s">
        <v>54</v>
      </c>
      <c r="P12" s="67" t="s">
        <v>6189</v>
      </c>
      <c r="Q12" s="67" t="s">
        <v>6189</v>
      </c>
    </row>
    <row r="13" spans="2:21" ht="23.25" customHeight="1" x14ac:dyDescent="0.25">
      <c r="B13" s="29" t="s">
        <v>5</v>
      </c>
      <c r="C13" s="27">
        <f>C12-C11</f>
        <v>0</v>
      </c>
      <c r="D13" s="10"/>
      <c r="E13" s="12"/>
      <c r="M13" s="65" t="s">
        <v>55</v>
      </c>
      <c r="N13" s="65" t="s">
        <v>56</v>
      </c>
      <c r="P13" s="64" t="s">
        <v>31</v>
      </c>
      <c r="Q13" s="67" t="s">
        <v>6190</v>
      </c>
      <c r="R13" s="67" t="s">
        <v>34</v>
      </c>
    </row>
    <row r="14" spans="2:21" ht="23.25" customHeight="1" x14ac:dyDescent="0.25">
      <c r="B14" s="29" t="s">
        <v>15</v>
      </c>
      <c r="C14" s="30"/>
      <c r="M14" s="65" t="s">
        <v>57</v>
      </c>
      <c r="N14" s="65" t="s">
        <v>58</v>
      </c>
      <c r="P14" s="67" t="s">
        <v>36</v>
      </c>
    </row>
    <row r="15" spans="2:21" ht="23.25" customHeight="1" x14ac:dyDescent="0.25">
      <c r="B15" s="29" t="s">
        <v>14</v>
      </c>
      <c r="C15" s="28"/>
      <c r="D15" s="33"/>
      <c r="M15" s="65" t="s">
        <v>59</v>
      </c>
      <c r="N15" s="65" t="s">
        <v>60</v>
      </c>
      <c r="P15" s="64" t="s">
        <v>32</v>
      </c>
      <c r="Q15" s="67" t="s">
        <v>6184</v>
      </c>
    </row>
    <row r="16" spans="2:21" x14ac:dyDescent="0.25">
      <c r="C16" s="8"/>
      <c r="M16" s="65" t="s">
        <v>61</v>
      </c>
      <c r="N16" s="65" t="s">
        <v>62</v>
      </c>
      <c r="Q16" s="67" t="s">
        <v>6181</v>
      </c>
    </row>
    <row r="17" spans="2:19" x14ac:dyDescent="0.25">
      <c r="B17" s="31" t="s">
        <v>20</v>
      </c>
      <c r="C17" s="34"/>
      <c r="D17" s="15"/>
      <c r="E17" s="16"/>
      <c r="M17" s="65" t="s">
        <v>63</v>
      </c>
      <c r="N17" s="65" t="s">
        <v>64</v>
      </c>
      <c r="Q17" s="67" t="s">
        <v>6188</v>
      </c>
    </row>
    <row r="18" spans="2:19" ht="18.75" x14ac:dyDescent="0.25">
      <c r="B18" s="31" t="s">
        <v>21</v>
      </c>
      <c r="C18" s="32" t="s">
        <v>22</v>
      </c>
      <c r="D18" s="15"/>
      <c r="E18" s="16"/>
      <c r="I18" s="25"/>
      <c r="M18" s="65" t="s">
        <v>65</v>
      </c>
      <c r="N18" s="65" t="s">
        <v>66</v>
      </c>
      <c r="Q18" s="67"/>
    </row>
    <row r="19" spans="2:19" ht="30" x14ac:dyDescent="0.25">
      <c r="B19" s="37" t="s">
        <v>6</v>
      </c>
      <c r="C19" s="38" t="s">
        <v>7</v>
      </c>
      <c r="D19" s="38" t="s">
        <v>8</v>
      </c>
      <c r="E19" s="39" t="s">
        <v>2</v>
      </c>
      <c r="F19" s="39" t="s">
        <v>9</v>
      </c>
      <c r="G19" s="39" t="s">
        <v>10</v>
      </c>
      <c r="H19" s="40" t="s">
        <v>18</v>
      </c>
      <c r="I19" s="40" t="s">
        <v>19</v>
      </c>
      <c r="J19" s="41" t="s">
        <v>11</v>
      </c>
      <c r="M19" s="65" t="s">
        <v>67</v>
      </c>
      <c r="N19" s="65" t="s">
        <v>68</v>
      </c>
    </row>
    <row r="20" spans="2:19" ht="15.75" x14ac:dyDescent="0.25">
      <c r="B20" s="42"/>
      <c r="C20" s="42" t="s">
        <v>12</v>
      </c>
      <c r="D20" s="60" t="e">
        <f>VLOOKUP(C9,Tabla15[#All],2,0)</f>
        <v>#N/A</v>
      </c>
      <c r="E20" s="44">
        <f t="shared" ref="E20:E27" si="0">$C$10</f>
        <v>0</v>
      </c>
      <c r="F20" s="61" t="str">
        <f>IF($C$7=$P$13,"2.8%","3.0%")</f>
        <v>2.8%</v>
      </c>
      <c r="G20" s="46">
        <f t="shared" ref="G20:G27" si="1">E20*F20</f>
        <v>0</v>
      </c>
      <c r="H20" s="47"/>
      <c r="I20" s="46"/>
      <c r="J20" s="48">
        <f>G20-I20</f>
        <v>0</v>
      </c>
      <c r="M20" s="65" t="s">
        <v>69</v>
      </c>
      <c r="N20" s="65" t="s">
        <v>70</v>
      </c>
    </row>
    <row r="21" spans="2:19" ht="15.75" x14ac:dyDescent="0.25">
      <c r="B21" s="42"/>
      <c r="C21" s="43" t="s">
        <v>13</v>
      </c>
      <c r="D21" s="60" t="e">
        <f>D20</f>
        <v>#N/A</v>
      </c>
      <c r="E21" s="44">
        <f t="shared" si="0"/>
        <v>0</v>
      </c>
      <c r="F21" s="45">
        <v>0.01</v>
      </c>
      <c r="G21" s="46">
        <f t="shared" si="1"/>
        <v>0</v>
      </c>
      <c r="H21" s="47"/>
      <c r="I21" s="49"/>
      <c r="J21" s="48">
        <f t="shared" ref="J21:J27" si="2">G21-I21</f>
        <v>0</v>
      </c>
      <c r="M21" s="65" t="s">
        <v>71</v>
      </c>
      <c r="N21" s="65" t="s">
        <v>72</v>
      </c>
      <c r="Q21" s="67" t="s">
        <v>6192</v>
      </c>
    </row>
    <row r="22" spans="2:19" ht="15.75" hidden="1" x14ac:dyDescent="0.25">
      <c r="B22" s="63" t="str" cm="1">
        <f t="array" ref="B22">_xlfn.IFS($C$18=$P$33,$Q$21,$C$18=$P$34,$Q$22)</f>
        <v>LILIA CRICLIVSCAIA</v>
      </c>
      <c r="C22" s="63" t="str" cm="1">
        <f t="array" ref="C22">_xlfn.IFS($B22=$Q$21,"DVR",$B22=$Q$22,"DVR",$B22=$Q$23,"DVN")</f>
        <v>DVR</v>
      </c>
      <c r="D22" s="60" t="e">
        <f t="shared" ref="D22:D27" si="3">D21</f>
        <v>#N/A</v>
      </c>
      <c r="E22" s="44">
        <f t="shared" si="0"/>
        <v>0</v>
      </c>
      <c r="F22" s="45" t="str" cm="1">
        <f t="array" ref="F22">_xlfn.IFS($B22=$Q$21,"1.0%",$B22=$Q$22,"1.0%",$B$23=$Q$23,"0.25%")</f>
        <v>1.0%</v>
      </c>
      <c r="G22" s="46">
        <f t="shared" si="1"/>
        <v>0</v>
      </c>
      <c r="H22" s="47" t="str" cm="1">
        <f t="array" ref="H22">_xlfn.IFS($B22=$Q$21,"FACTURA",$B22=$Q$22,"COMERCIALIZADORA",$B22=$Q$23,"FACTURA")</f>
        <v>FACTURA</v>
      </c>
      <c r="I22" s="49"/>
      <c r="J22" s="46">
        <f t="shared" si="2"/>
        <v>0</v>
      </c>
      <c r="K22" s="17"/>
      <c r="M22" s="65" t="s">
        <v>73</v>
      </c>
      <c r="N22" s="65" t="s">
        <v>74</v>
      </c>
      <c r="P22" s="67" t="s">
        <v>6172</v>
      </c>
      <c r="Q22" s="67" t="s">
        <v>6193</v>
      </c>
      <c r="S22" s="67"/>
    </row>
    <row r="23" spans="2:19" ht="15.75" hidden="1" x14ac:dyDescent="0.25">
      <c r="B23" s="63" t="str" cm="1">
        <f t="array" ref="B23">_xlfn.IFS($C$18=$P$33,$Q$23,$C$18=$P$34,$Q$23)</f>
        <v>KARINA PAOLA GUSI TORRES</v>
      </c>
      <c r="C23" s="63" t="str" cm="1">
        <f t="array" ref="C23">_xlfn.IFS($B23=$Q$21,"DVR",$B23=$Q$22,"DVR",$B23=$Q$23,"DVN")</f>
        <v>DVN</v>
      </c>
      <c r="D23" s="60" t="e">
        <f t="shared" si="3"/>
        <v>#N/A</v>
      </c>
      <c r="E23" s="44">
        <f t="shared" si="0"/>
        <v>0</v>
      </c>
      <c r="F23" s="45" t="str" cm="1">
        <f t="array" ref="F23">_xlfn.IFS($B23=$Q$21,"1.0%",$B23=$Q$22,"1.0%",$B$23=$Q$23,"0.25%")</f>
        <v>0.25%</v>
      </c>
      <c r="G23" s="46">
        <f t="shared" si="1"/>
        <v>0</v>
      </c>
      <c r="H23" s="47" t="str" cm="1">
        <f t="array" ref="H23">_xlfn.IFS($B23=$Q$21,"FACTURA",$B23=$Q$22,"COMERCIALIZADORA",$B23=$Q$23,"FACTURA")</f>
        <v>FACTURA</v>
      </c>
      <c r="I23" s="49"/>
      <c r="J23" s="48">
        <f t="shared" si="2"/>
        <v>0</v>
      </c>
      <c r="K23" s="17"/>
      <c r="M23" s="65" t="s">
        <v>75</v>
      </c>
      <c r="N23" s="65" t="s">
        <v>76</v>
      </c>
      <c r="P23" s="67" t="s">
        <v>12</v>
      </c>
      <c r="Q23" s="67" t="s">
        <v>6194</v>
      </c>
    </row>
    <row r="24" spans="2:19" ht="15.75" hidden="1" x14ac:dyDescent="0.25">
      <c r="B24" s="50" t="e" cm="1">
        <f t="array" ref="B24">_xlfn.IFS(C20=P35,Q23,C20=P36,Q24)</f>
        <v>#N/A</v>
      </c>
      <c r="C24" s="43"/>
      <c r="D24" s="60" t="e">
        <f t="shared" si="3"/>
        <v>#N/A</v>
      </c>
      <c r="E24" s="44">
        <f t="shared" si="0"/>
        <v>0</v>
      </c>
      <c r="F24" s="51">
        <v>2.5000000000000001E-3</v>
      </c>
      <c r="G24" s="46">
        <f t="shared" si="1"/>
        <v>0</v>
      </c>
      <c r="H24" s="47" t="e" cm="1">
        <f t="array" ref="H24">_xlfn.IFS($B24=$Q23,"FACTURA",$B24=$Q24,"COMERCIALIZADORA",$B24=$Q25,"FACTURA")</f>
        <v>#N/A</v>
      </c>
      <c r="I24" s="49"/>
      <c r="J24" s="48">
        <f t="shared" si="2"/>
        <v>0</v>
      </c>
      <c r="K24" s="17"/>
      <c r="M24" s="65" t="s">
        <v>77</v>
      </c>
      <c r="N24" s="65" t="s">
        <v>78</v>
      </c>
      <c r="P24" s="67" t="s">
        <v>6169</v>
      </c>
      <c r="Q24" s="67"/>
    </row>
    <row r="25" spans="2:19" ht="15.75" hidden="1" x14ac:dyDescent="0.25">
      <c r="B25" s="50" t="e" cm="1">
        <f t="array" ref="B25">_xlfn.IFS(C21=P36,Q24,C21=P37,Q25)</f>
        <v>#N/A</v>
      </c>
      <c r="C25" s="43"/>
      <c r="D25" s="60" t="e">
        <f t="shared" si="3"/>
        <v>#N/A</v>
      </c>
      <c r="E25" s="44">
        <f t="shared" si="0"/>
        <v>0</v>
      </c>
      <c r="F25" s="51">
        <v>5.0000000000000001E-3</v>
      </c>
      <c r="G25" s="46">
        <f t="shared" si="1"/>
        <v>0</v>
      </c>
      <c r="H25" s="47" t="e" cm="1">
        <f t="array" ref="H25">_xlfn.IFS($B25=$Q24,"FACTURA",$B25=$Q25,"COMERCIALIZADORA",$B25=$Q26,"FACTURA")</f>
        <v>#N/A</v>
      </c>
      <c r="I25" s="49"/>
      <c r="J25" s="48">
        <f t="shared" si="2"/>
        <v>0</v>
      </c>
      <c r="K25" s="17"/>
      <c r="M25" s="65" t="s">
        <v>79</v>
      </c>
      <c r="N25" s="65" t="s">
        <v>80</v>
      </c>
      <c r="P25" s="67" t="s">
        <v>13</v>
      </c>
    </row>
    <row r="26" spans="2:19" ht="15.75" hidden="1" x14ac:dyDescent="0.25">
      <c r="B26" s="50" t="e" cm="1">
        <f t="array" ref="B26">_xlfn.IFS(C22=P37,Q25,C22=P38,Q26)</f>
        <v>#N/A</v>
      </c>
      <c r="C26" s="52"/>
      <c r="D26" s="60" t="e">
        <f t="shared" si="3"/>
        <v>#N/A</v>
      </c>
      <c r="E26" s="44">
        <f t="shared" si="0"/>
        <v>0</v>
      </c>
      <c r="F26" s="51">
        <v>1E-3</v>
      </c>
      <c r="G26" s="46">
        <f t="shared" si="1"/>
        <v>0</v>
      </c>
      <c r="H26" s="47" t="e" cm="1">
        <f t="array" ref="H26">_xlfn.IFS($B26=$Q25,"FACTURA",$B26=$Q26,"COMERCIALIZADORA",$B26=$Q27,"FACTURA")</f>
        <v>#N/A</v>
      </c>
      <c r="I26" s="49"/>
      <c r="J26" s="48">
        <f t="shared" si="2"/>
        <v>0</v>
      </c>
      <c r="K26" s="17"/>
      <c r="M26" s="65" t="s">
        <v>81</v>
      </c>
      <c r="N26" s="65" t="s">
        <v>82</v>
      </c>
      <c r="P26" s="67" t="s">
        <v>6172</v>
      </c>
    </row>
    <row r="27" spans="2:19" ht="15.75" hidden="1" x14ac:dyDescent="0.25">
      <c r="B27" s="53" t="e" cm="1">
        <f t="array" ref="B27">_xlfn.IFS(C23=P38,Q26,C23=P39,Q27)</f>
        <v>#N/A</v>
      </c>
      <c r="C27" s="54"/>
      <c r="D27" s="62" t="e">
        <f t="shared" si="3"/>
        <v>#N/A</v>
      </c>
      <c r="E27" s="55">
        <f t="shared" si="0"/>
        <v>0</v>
      </c>
      <c r="F27" s="56">
        <v>0.01</v>
      </c>
      <c r="G27" s="57">
        <f t="shared" si="1"/>
        <v>0</v>
      </c>
      <c r="H27" s="47" t="e" cm="1">
        <f t="array" ref="H27">_xlfn.IFS($B27=$Q26,"FACTURA",$B27=$Q27,"COMERCIALIZADORA",$B27=$Q28,"FACTURA")</f>
        <v>#N/A</v>
      </c>
      <c r="I27" s="58"/>
      <c r="J27" s="59">
        <f t="shared" si="2"/>
        <v>0</v>
      </c>
      <c r="M27" s="65" t="s">
        <v>83</v>
      </c>
      <c r="N27" s="65" t="s">
        <v>84</v>
      </c>
      <c r="P27" s="67" t="s">
        <v>6170</v>
      </c>
    </row>
    <row r="28" spans="2:19" ht="21" x14ac:dyDescent="0.25">
      <c r="F28" s="18">
        <f>SUBTOTAL(109,COMISIONES[% COMISIÓN ])</f>
        <v>0.01</v>
      </c>
      <c r="G28" s="19">
        <f>SUBTOTAL(109,COMISIONES[IMPORTE])</f>
        <v>0</v>
      </c>
      <c r="H28" s="19"/>
      <c r="I28" s="19"/>
      <c r="J28" s="19">
        <f>SUBTOTAL(109,COMISIONES[PAGAR])</f>
        <v>0</v>
      </c>
      <c r="M28" s="65" t="s">
        <v>85</v>
      </c>
      <c r="N28" s="65" t="s">
        <v>86</v>
      </c>
      <c r="P28" s="67" t="s">
        <v>6171</v>
      </c>
    </row>
    <row r="29" spans="2:19" ht="21" x14ac:dyDescent="0.25">
      <c r="F29" s="18"/>
      <c r="G29" s="19"/>
      <c r="H29" s="19"/>
      <c r="I29" s="19"/>
      <c r="J29" s="19"/>
      <c r="M29" s="65" t="s">
        <v>87</v>
      </c>
      <c r="N29" s="65" t="s">
        <v>88</v>
      </c>
      <c r="P29" s="67" t="s">
        <v>24</v>
      </c>
    </row>
    <row r="30" spans="2:19" ht="21" x14ac:dyDescent="0.25">
      <c r="B30" s="36" t="s">
        <v>6175</v>
      </c>
      <c r="F30" s="20"/>
      <c r="G30" s="21"/>
      <c r="H30" s="21"/>
      <c r="M30" s="65" t="s">
        <v>89</v>
      </c>
      <c r="N30" s="65" t="s">
        <v>90</v>
      </c>
      <c r="P30" s="67" t="s">
        <v>25</v>
      </c>
    </row>
    <row r="31" spans="2:19" x14ac:dyDescent="0.25">
      <c r="B31" s="22"/>
      <c r="C31" s="22"/>
      <c r="D31" s="22"/>
      <c r="E31" s="22"/>
      <c r="F31" s="22"/>
      <c r="G31" s="22"/>
      <c r="H31" s="22"/>
      <c r="M31" s="65" t="s">
        <v>91</v>
      </c>
      <c r="N31" s="65" t="s">
        <v>92</v>
      </c>
      <c r="P31" s="67" t="s">
        <v>6172</v>
      </c>
    </row>
    <row r="32" spans="2:19" x14ac:dyDescent="0.25">
      <c r="B32" s="22"/>
      <c r="C32" s="22"/>
      <c r="D32" s="22"/>
      <c r="E32" s="22"/>
      <c r="F32" s="22"/>
      <c r="G32" s="22"/>
      <c r="H32" s="22"/>
      <c r="M32" s="65" t="s">
        <v>93</v>
      </c>
      <c r="N32" s="65" t="s">
        <v>94</v>
      </c>
      <c r="P32" s="67"/>
    </row>
    <row r="33" spans="2:16" x14ac:dyDescent="0.25">
      <c r="B33" s="22"/>
      <c r="C33" s="22"/>
      <c r="D33" s="22"/>
      <c r="E33" s="22"/>
      <c r="F33" s="22"/>
      <c r="G33" s="22"/>
      <c r="H33" s="22"/>
      <c r="M33" s="65" t="s">
        <v>95</v>
      </c>
      <c r="N33" s="65" t="s">
        <v>96</v>
      </c>
      <c r="P33" s="67" t="s">
        <v>22</v>
      </c>
    </row>
    <row r="34" spans="2:16" x14ac:dyDescent="0.25">
      <c r="B34" s="22"/>
      <c r="C34" s="22"/>
      <c r="D34" s="22"/>
      <c r="E34" s="22"/>
      <c r="F34" s="22"/>
      <c r="G34" s="22"/>
      <c r="H34" s="22"/>
      <c r="M34" s="65" t="s">
        <v>97</v>
      </c>
      <c r="N34" s="65" t="s">
        <v>98</v>
      </c>
      <c r="P34" s="67" t="s">
        <v>6173</v>
      </c>
    </row>
    <row r="35" spans="2:16" x14ac:dyDescent="0.25">
      <c r="B35" s="22"/>
      <c r="C35" s="22"/>
      <c r="D35" s="22"/>
      <c r="E35" s="22"/>
      <c r="F35" s="22"/>
      <c r="G35" s="22"/>
      <c r="H35" s="22"/>
      <c r="M35" s="65" t="s">
        <v>99</v>
      </c>
      <c r="N35" s="65" t="s">
        <v>100</v>
      </c>
      <c r="P35" s="67" t="s">
        <v>6174</v>
      </c>
    </row>
    <row r="36" spans="2:16" x14ac:dyDescent="0.25">
      <c r="B36" s="22"/>
      <c r="C36" s="22"/>
      <c r="D36" s="22"/>
      <c r="E36" s="22"/>
      <c r="F36" s="22"/>
      <c r="G36" s="22"/>
      <c r="H36" s="22"/>
      <c r="M36" s="65" t="s">
        <v>101</v>
      </c>
      <c r="N36" s="65" t="s">
        <v>102</v>
      </c>
    </row>
    <row r="37" spans="2:16" x14ac:dyDescent="0.25">
      <c r="B37" s="22"/>
      <c r="C37" s="22"/>
      <c r="D37" s="22"/>
      <c r="E37" s="22"/>
      <c r="F37" s="22"/>
      <c r="G37" s="22"/>
      <c r="H37" s="22"/>
      <c r="M37" s="65" t="s">
        <v>103</v>
      </c>
      <c r="N37" s="65" t="s">
        <v>104</v>
      </c>
      <c r="P37" s="67" t="s">
        <v>6176</v>
      </c>
    </row>
    <row r="38" spans="2:16" x14ac:dyDescent="0.25">
      <c r="B38" s="22"/>
      <c r="C38" s="22"/>
      <c r="D38" s="22"/>
      <c r="E38" s="22"/>
      <c r="F38" s="22"/>
      <c r="G38" s="22"/>
      <c r="H38" s="22"/>
      <c r="M38" s="65" t="s">
        <v>105</v>
      </c>
      <c r="N38" s="65" t="s">
        <v>106</v>
      </c>
      <c r="P38" s="67" t="s">
        <v>6177</v>
      </c>
    </row>
    <row r="39" spans="2:16" x14ac:dyDescent="0.25">
      <c r="B39" s="22"/>
      <c r="C39" s="22"/>
      <c r="D39" s="22"/>
      <c r="E39" s="22"/>
      <c r="F39" s="22"/>
      <c r="G39" s="22"/>
      <c r="H39" s="22"/>
      <c r="M39" s="65" t="s">
        <v>107</v>
      </c>
      <c r="N39" s="65" t="s">
        <v>108</v>
      </c>
      <c r="P39" s="67" t="s">
        <v>6178</v>
      </c>
    </row>
    <row r="40" spans="2:16" x14ac:dyDescent="0.25">
      <c r="B40" s="22"/>
      <c r="C40" s="22"/>
      <c r="D40" s="22"/>
      <c r="E40" s="22"/>
      <c r="F40" s="22"/>
      <c r="G40" s="22"/>
      <c r="H40" s="22"/>
      <c r="M40" s="65" t="s">
        <v>109</v>
      </c>
      <c r="N40" s="65" t="s">
        <v>110</v>
      </c>
      <c r="P40" s="67" t="s">
        <v>6179</v>
      </c>
    </row>
    <row r="41" spans="2:16" x14ac:dyDescent="0.25">
      <c r="B41" s="22"/>
      <c r="C41" s="22"/>
      <c r="D41" s="22"/>
      <c r="E41" s="22"/>
      <c r="F41" s="22"/>
      <c r="G41" s="22"/>
      <c r="H41" s="22"/>
      <c r="M41" s="65" t="s">
        <v>111</v>
      </c>
      <c r="N41" s="65" t="s">
        <v>112</v>
      </c>
    </row>
    <row r="42" spans="2:16" x14ac:dyDescent="0.25">
      <c r="B42" s="22"/>
      <c r="C42" s="22"/>
      <c r="D42" s="22"/>
      <c r="E42" s="22"/>
      <c r="F42" s="22"/>
      <c r="G42" s="22"/>
      <c r="H42" s="22"/>
      <c r="M42" s="65" t="s">
        <v>113</v>
      </c>
      <c r="N42" s="65" t="s">
        <v>114</v>
      </c>
    </row>
    <row r="43" spans="2:16" x14ac:dyDescent="0.25">
      <c r="B43" s="22"/>
      <c r="C43" s="22"/>
      <c r="D43" s="22"/>
      <c r="E43" s="22"/>
      <c r="F43" s="22"/>
      <c r="G43" s="22"/>
      <c r="H43" s="22"/>
      <c r="M43" s="65" t="s">
        <v>115</v>
      </c>
      <c r="N43" s="65" t="s">
        <v>116</v>
      </c>
    </row>
    <row r="44" spans="2:16" x14ac:dyDescent="0.25">
      <c r="B44" s="72"/>
      <c r="C44" s="72"/>
      <c r="D44" s="72"/>
      <c r="E44" s="72"/>
      <c r="F44" s="72"/>
      <c r="G44" s="72"/>
      <c r="H44" s="22"/>
      <c r="M44" s="65" t="s">
        <v>117</v>
      </c>
      <c r="N44" s="65" t="s">
        <v>118</v>
      </c>
    </row>
    <row r="45" spans="2:16" x14ac:dyDescent="0.25">
      <c r="B45" s="23"/>
      <c r="M45" s="65" t="s">
        <v>119</v>
      </c>
      <c r="N45" s="65" t="s">
        <v>120</v>
      </c>
    </row>
    <row r="46" spans="2:16" x14ac:dyDescent="0.25">
      <c r="B46" s="23"/>
      <c r="M46" s="65" t="s">
        <v>121</v>
      </c>
      <c r="N46" s="65" t="s">
        <v>122</v>
      </c>
    </row>
    <row r="47" spans="2:16" x14ac:dyDescent="0.25">
      <c r="B47" s="23"/>
      <c r="M47" s="65" t="s">
        <v>123</v>
      </c>
      <c r="N47" s="65" t="s">
        <v>124</v>
      </c>
    </row>
    <row r="48" spans="2:16" x14ac:dyDescent="0.25">
      <c r="B48" s="23"/>
      <c r="M48" s="65" t="s">
        <v>125</v>
      </c>
      <c r="N48" s="65" t="s">
        <v>126</v>
      </c>
    </row>
    <row r="49" spans="1:21" x14ac:dyDescent="0.25">
      <c r="B49" s="23"/>
      <c r="M49" s="65" t="s">
        <v>127</v>
      </c>
      <c r="N49" s="65" t="s">
        <v>128</v>
      </c>
    </row>
    <row r="50" spans="1:21" x14ac:dyDescent="0.25">
      <c r="B50" s="23"/>
      <c r="M50" s="65" t="s">
        <v>129</v>
      </c>
      <c r="N50" s="65" t="s">
        <v>130</v>
      </c>
    </row>
    <row r="51" spans="1:21" x14ac:dyDescent="0.25">
      <c r="B51" s="23"/>
      <c r="M51" s="65" t="s">
        <v>131</v>
      </c>
      <c r="N51" s="65" t="s">
        <v>132</v>
      </c>
    </row>
    <row r="52" spans="1:21" x14ac:dyDescent="0.25">
      <c r="B52" s="23"/>
      <c r="M52" s="65" t="s">
        <v>133</v>
      </c>
      <c r="N52" s="65" t="s">
        <v>134</v>
      </c>
    </row>
    <row r="53" spans="1:21" x14ac:dyDescent="0.25">
      <c r="B53" s="23"/>
      <c r="M53" s="65" t="s">
        <v>135</v>
      </c>
      <c r="N53" s="65" t="s">
        <v>136</v>
      </c>
    </row>
    <row r="54" spans="1:21" s="2" customFormat="1" x14ac:dyDescent="0.25">
      <c r="A54" s="1"/>
      <c r="B54" s="23"/>
      <c r="E54" s="1"/>
      <c r="F54" s="1"/>
      <c r="G54" s="3"/>
      <c r="H54" s="3"/>
      <c r="I54" s="1"/>
      <c r="J54" s="1"/>
      <c r="L54" s="69"/>
      <c r="M54" s="65" t="s">
        <v>137</v>
      </c>
      <c r="N54" s="65" t="s">
        <v>138</v>
      </c>
      <c r="O54" s="69"/>
      <c r="P54" s="69"/>
      <c r="Q54" s="69"/>
      <c r="R54" s="69"/>
      <c r="S54" s="69"/>
      <c r="T54" s="69"/>
      <c r="U54" s="69"/>
    </row>
    <row r="55" spans="1:21" s="2" customFormat="1" x14ac:dyDescent="0.25">
      <c r="A55" s="1"/>
      <c r="B55" s="23"/>
      <c r="E55" s="1"/>
      <c r="F55" s="1"/>
      <c r="G55" s="3"/>
      <c r="H55" s="3"/>
      <c r="L55" s="69"/>
      <c r="M55" s="65" t="s">
        <v>139</v>
      </c>
      <c r="N55" s="65" t="s">
        <v>140</v>
      </c>
      <c r="O55" s="69"/>
      <c r="P55" s="69"/>
      <c r="Q55" s="69"/>
      <c r="R55" s="69"/>
      <c r="S55" s="69"/>
      <c r="T55" s="69"/>
      <c r="U55" s="69"/>
    </row>
    <row r="56" spans="1:21" s="2" customFormat="1" x14ac:dyDescent="0.25">
      <c r="A56" s="1"/>
      <c r="B56" s="23"/>
      <c r="E56" s="1"/>
      <c r="F56" s="1"/>
      <c r="G56" s="3"/>
      <c r="H56" s="3"/>
      <c r="L56" s="69"/>
      <c r="M56" s="65" t="s">
        <v>141</v>
      </c>
      <c r="N56" s="65" t="s">
        <v>142</v>
      </c>
      <c r="O56" s="69"/>
      <c r="P56" s="69"/>
      <c r="Q56" s="69"/>
      <c r="R56" s="69"/>
      <c r="S56" s="69"/>
      <c r="T56" s="69"/>
      <c r="U56" s="69"/>
    </row>
    <row r="57" spans="1:21" s="2" customFormat="1" x14ac:dyDescent="0.25">
      <c r="A57" s="1"/>
      <c r="B57" s="23"/>
      <c r="E57" s="1"/>
      <c r="F57" s="1"/>
      <c r="G57" s="3"/>
      <c r="H57" s="3"/>
      <c r="L57" s="69"/>
      <c r="M57" s="65" t="s">
        <v>143</v>
      </c>
      <c r="N57" s="65" t="s">
        <v>144</v>
      </c>
      <c r="O57" s="69"/>
      <c r="P57" s="69"/>
      <c r="Q57" s="69"/>
      <c r="R57" s="69"/>
      <c r="S57" s="69"/>
      <c r="T57" s="69"/>
      <c r="U57" s="69"/>
    </row>
    <row r="58" spans="1:21" s="2" customFormat="1" x14ac:dyDescent="0.25">
      <c r="A58" s="1"/>
      <c r="B58" s="1"/>
      <c r="E58" s="1"/>
      <c r="F58" s="1"/>
      <c r="G58" s="3"/>
      <c r="H58" s="3"/>
      <c r="L58" s="69"/>
      <c r="M58" s="65" t="s">
        <v>145</v>
      </c>
      <c r="N58" s="65" t="s">
        <v>146</v>
      </c>
      <c r="O58" s="69"/>
      <c r="P58" s="69"/>
      <c r="Q58" s="69"/>
      <c r="R58" s="69"/>
      <c r="S58" s="69"/>
      <c r="T58" s="69"/>
      <c r="U58" s="69"/>
    </row>
    <row r="59" spans="1:21" s="2" customFormat="1" x14ac:dyDescent="0.25">
      <c r="A59" s="1"/>
      <c r="B59" s="1"/>
      <c r="E59" s="1"/>
      <c r="F59" s="1"/>
      <c r="G59" s="3"/>
      <c r="H59" s="3"/>
      <c r="L59" s="69"/>
      <c r="M59" s="65" t="s">
        <v>147</v>
      </c>
      <c r="N59" s="65" t="s">
        <v>148</v>
      </c>
      <c r="O59" s="69"/>
      <c r="P59" s="69"/>
      <c r="Q59" s="69"/>
      <c r="R59" s="69"/>
      <c r="S59" s="69"/>
      <c r="T59" s="69"/>
      <c r="U59" s="69"/>
    </row>
    <row r="60" spans="1:21" s="2" customFormat="1" x14ac:dyDescent="0.25">
      <c r="A60" s="1"/>
      <c r="B60" s="1"/>
      <c r="E60" s="1"/>
      <c r="F60" s="1"/>
      <c r="G60" s="3"/>
      <c r="H60" s="3"/>
      <c r="L60" s="69"/>
      <c r="M60" s="65" t="s">
        <v>149</v>
      </c>
      <c r="N60" s="65" t="s">
        <v>150</v>
      </c>
      <c r="O60" s="69"/>
      <c r="P60" s="69"/>
      <c r="Q60" s="69"/>
      <c r="R60" s="69"/>
      <c r="S60" s="69"/>
      <c r="T60" s="69"/>
      <c r="U60" s="69"/>
    </row>
    <row r="61" spans="1:21" s="2" customFormat="1" x14ac:dyDescent="0.25">
      <c r="A61" s="1"/>
      <c r="B61" s="1"/>
      <c r="E61" s="1"/>
      <c r="F61" s="1"/>
      <c r="G61" s="3"/>
      <c r="H61" s="3"/>
      <c r="L61" s="69"/>
      <c r="M61" s="65" t="s">
        <v>151</v>
      </c>
      <c r="N61" s="65" t="s">
        <v>152</v>
      </c>
      <c r="O61" s="69"/>
      <c r="P61" s="69"/>
      <c r="Q61" s="69"/>
      <c r="R61" s="69"/>
      <c r="S61" s="69"/>
      <c r="T61" s="69"/>
      <c r="U61" s="69"/>
    </row>
    <row r="62" spans="1:21" s="2" customFormat="1" x14ac:dyDescent="0.25">
      <c r="A62" s="1"/>
      <c r="B62" s="1"/>
      <c r="E62" s="1"/>
      <c r="F62" s="1"/>
      <c r="G62" s="3"/>
      <c r="H62" s="3"/>
      <c r="L62" s="69"/>
      <c r="M62" s="65" t="s">
        <v>153</v>
      </c>
      <c r="N62" s="65" t="s">
        <v>154</v>
      </c>
      <c r="O62" s="69"/>
      <c r="P62" s="69"/>
      <c r="Q62" s="69"/>
      <c r="R62" s="69"/>
      <c r="S62" s="69"/>
      <c r="T62" s="69"/>
      <c r="U62" s="69"/>
    </row>
    <row r="63" spans="1:21" s="2" customFormat="1" x14ac:dyDescent="0.25">
      <c r="A63" s="1"/>
      <c r="B63" s="1"/>
      <c r="E63" s="1"/>
      <c r="F63" s="1"/>
      <c r="G63" s="3"/>
      <c r="H63" s="3"/>
      <c r="L63" s="69"/>
      <c r="M63" s="65" t="s">
        <v>155</v>
      </c>
      <c r="N63" s="65" t="s">
        <v>156</v>
      </c>
      <c r="O63" s="69"/>
      <c r="P63" s="69"/>
      <c r="Q63" s="69"/>
      <c r="R63" s="69"/>
      <c r="S63" s="69"/>
      <c r="T63" s="69"/>
      <c r="U63" s="69"/>
    </row>
    <row r="64" spans="1:21" s="2" customFormat="1" x14ac:dyDescent="0.25">
      <c r="A64" s="1"/>
      <c r="B64" s="1"/>
      <c r="E64" s="1"/>
      <c r="F64" s="1"/>
      <c r="G64" s="3"/>
      <c r="H64" s="3"/>
      <c r="L64" s="69"/>
      <c r="M64" s="65" t="s">
        <v>157</v>
      </c>
      <c r="N64" s="65" t="s">
        <v>158</v>
      </c>
      <c r="O64" s="69"/>
      <c r="P64" s="69"/>
      <c r="Q64" s="69"/>
      <c r="R64" s="69"/>
      <c r="S64" s="69"/>
      <c r="T64" s="69"/>
      <c r="U64" s="69"/>
    </row>
    <row r="65" spans="1:21" s="2" customFormat="1" x14ac:dyDescent="0.25">
      <c r="A65" s="1"/>
      <c r="B65" s="1"/>
      <c r="E65" s="1"/>
      <c r="F65" s="1"/>
      <c r="G65" s="3"/>
      <c r="H65" s="3"/>
      <c r="L65" s="69"/>
      <c r="M65" s="65" t="s">
        <v>159</v>
      </c>
      <c r="N65" s="65" t="s">
        <v>160</v>
      </c>
      <c r="O65" s="69"/>
      <c r="P65" s="69"/>
      <c r="Q65" s="69"/>
      <c r="R65" s="69"/>
      <c r="S65" s="69"/>
      <c r="T65" s="69"/>
      <c r="U65" s="69"/>
    </row>
    <row r="66" spans="1:21" s="2" customFormat="1" x14ac:dyDescent="0.25">
      <c r="A66" s="1"/>
      <c r="B66" s="1"/>
      <c r="E66" s="1"/>
      <c r="F66" s="1"/>
      <c r="G66" s="3"/>
      <c r="H66" s="3"/>
      <c r="L66" s="69"/>
      <c r="M66" s="65" t="s">
        <v>161</v>
      </c>
      <c r="N66" s="65" t="s">
        <v>162</v>
      </c>
      <c r="O66" s="69"/>
      <c r="P66" s="69"/>
      <c r="Q66" s="69"/>
      <c r="R66" s="69"/>
      <c r="S66" s="69"/>
      <c r="T66" s="69"/>
      <c r="U66" s="69"/>
    </row>
    <row r="67" spans="1:21" x14ac:dyDescent="0.25">
      <c r="I67" s="2"/>
      <c r="J67" s="2"/>
      <c r="M67" s="65" t="s">
        <v>163</v>
      </c>
      <c r="N67" s="65" t="s">
        <v>164</v>
      </c>
    </row>
    <row r="68" spans="1:21" x14ac:dyDescent="0.25">
      <c r="M68" s="65" t="s">
        <v>165</v>
      </c>
      <c r="N68" s="65" t="s">
        <v>166</v>
      </c>
    </row>
    <row r="69" spans="1:21" x14ac:dyDescent="0.25">
      <c r="M69" s="65" t="s">
        <v>167</v>
      </c>
      <c r="N69" s="65" t="s">
        <v>168</v>
      </c>
    </row>
    <row r="70" spans="1:21" x14ac:dyDescent="0.25">
      <c r="M70" s="65" t="s">
        <v>169</v>
      </c>
      <c r="N70" s="65" t="s">
        <v>170</v>
      </c>
    </row>
    <row r="71" spans="1:21" x14ac:dyDescent="0.25">
      <c r="M71" s="65" t="s">
        <v>171</v>
      </c>
      <c r="N71" s="65" t="s">
        <v>172</v>
      </c>
    </row>
    <row r="72" spans="1:21" x14ac:dyDescent="0.25">
      <c r="M72" s="65" t="s">
        <v>173</v>
      </c>
      <c r="N72" s="65" t="s">
        <v>174</v>
      </c>
    </row>
    <row r="73" spans="1:21" x14ac:dyDescent="0.25">
      <c r="M73" s="65" t="s">
        <v>175</v>
      </c>
      <c r="N73" s="65" t="s">
        <v>176</v>
      </c>
    </row>
    <row r="74" spans="1:21" x14ac:dyDescent="0.25">
      <c r="M74" s="65" t="s">
        <v>177</v>
      </c>
      <c r="N74" s="65" t="s">
        <v>178</v>
      </c>
    </row>
    <row r="75" spans="1:21" x14ac:dyDescent="0.25">
      <c r="M75" s="65" t="s">
        <v>179</v>
      </c>
      <c r="N75" s="65" t="s">
        <v>180</v>
      </c>
    </row>
    <row r="76" spans="1:21" x14ac:dyDescent="0.25">
      <c r="M76" s="65" t="s">
        <v>181</v>
      </c>
      <c r="N76" s="65" t="s">
        <v>182</v>
      </c>
    </row>
    <row r="77" spans="1:21" x14ac:dyDescent="0.25">
      <c r="M77" s="65" t="s">
        <v>183</v>
      </c>
      <c r="N77" s="65" t="s">
        <v>184</v>
      </c>
    </row>
    <row r="78" spans="1:21" x14ac:dyDescent="0.25">
      <c r="M78" s="65" t="s">
        <v>185</v>
      </c>
      <c r="N78" s="65" t="s">
        <v>186</v>
      </c>
    </row>
    <row r="79" spans="1:21" x14ac:dyDescent="0.25">
      <c r="M79" s="65" t="s">
        <v>187</v>
      </c>
      <c r="N79" s="65" t="s">
        <v>188</v>
      </c>
    </row>
    <row r="80" spans="1:21" x14ac:dyDescent="0.25">
      <c r="M80" s="65" t="s">
        <v>189</v>
      </c>
      <c r="N80" s="65" t="s">
        <v>190</v>
      </c>
    </row>
    <row r="81" spans="13:14" x14ac:dyDescent="0.25">
      <c r="M81" s="65" t="s">
        <v>191</v>
      </c>
      <c r="N81" s="65" t="s">
        <v>192</v>
      </c>
    </row>
    <row r="82" spans="13:14" x14ac:dyDescent="0.25">
      <c r="M82" s="65" t="s">
        <v>193</v>
      </c>
      <c r="N82" s="65" t="s">
        <v>194</v>
      </c>
    </row>
    <row r="83" spans="13:14" x14ac:dyDescent="0.25">
      <c r="M83" s="65" t="s">
        <v>195</v>
      </c>
      <c r="N83" s="65" t="s">
        <v>196</v>
      </c>
    </row>
    <row r="84" spans="13:14" x14ac:dyDescent="0.25">
      <c r="M84" s="65" t="s">
        <v>197</v>
      </c>
      <c r="N84" s="65" t="s">
        <v>198</v>
      </c>
    </row>
    <row r="85" spans="13:14" x14ac:dyDescent="0.25">
      <c r="M85" s="65" t="s">
        <v>199</v>
      </c>
      <c r="N85" s="65" t="s">
        <v>200</v>
      </c>
    </row>
    <row r="86" spans="13:14" x14ac:dyDescent="0.25">
      <c r="M86" s="65" t="s">
        <v>201</v>
      </c>
      <c r="N86" s="65" t="s">
        <v>202</v>
      </c>
    </row>
    <row r="87" spans="13:14" x14ac:dyDescent="0.25">
      <c r="M87" s="65" t="s">
        <v>203</v>
      </c>
      <c r="N87" s="65" t="s">
        <v>204</v>
      </c>
    </row>
    <row r="88" spans="13:14" x14ac:dyDescent="0.25">
      <c r="M88" s="65" t="s">
        <v>205</v>
      </c>
      <c r="N88" s="65" t="s">
        <v>206</v>
      </c>
    </row>
    <row r="89" spans="13:14" x14ac:dyDescent="0.25">
      <c r="M89" s="65" t="s">
        <v>207</v>
      </c>
      <c r="N89" s="65" t="s">
        <v>208</v>
      </c>
    </row>
    <row r="90" spans="13:14" x14ac:dyDescent="0.25">
      <c r="M90" s="65" t="s">
        <v>209</v>
      </c>
      <c r="N90" s="65" t="s">
        <v>210</v>
      </c>
    </row>
    <row r="91" spans="13:14" x14ac:dyDescent="0.25">
      <c r="M91" s="65" t="s">
        <v>211</v>
      </c>
      <c r="N91" s="65" t="s">
        <v>212</v>
      </c>
    </row>
    <row r="92" spans="13:14" x14ac:dyDescent="0.25">
      <c r="M92" s="65" t="s">
        <v>213</v>
      </c>
      <c r="N92" s="65" t="s">
        <v>214</v>
      </c>
    </row>
    <row r="93" spans="13:14" x14ac:dyDescent="0.25">
      <c r="M93" s="65" t="s">
        <v>215</v>
      </c>
      <c r="N93" s="65" t="s">
        <v>216</v>
      </c>
    </row>
    <row r="94" spans="13:14" x14ac:dyDescent="0.25">
      <c r="M94" s="65" t="s">
        <v>217</v>
      </c>
      <c r="N94" s="65" t="s">
        <v>218</v>
      </c>
    </row>
    <row r="95" spans="13:14" x14ac:dyDescent="0.25">
      <c r="M95" s="65" t="s">
        <v>219</v>
      </c>
      <c r="N95" s="65" t="s">
        <v>220</v>
      </c>
    </row>
    <row r="96" spans="13:14" x14ac:dyDescent="0.25">
      <c r="M96" s="65" t="s">
        <v>221</v>
      </c>
      <c r="N96" s="65" t="s">
        <v>222</v>
      </c>
    </row>
    <row r="97" spans="13:14" x14ac:dyDescent="0.25">
      <c r="M97" s="65" t="s">
        <v>223</v>
      </c>
      <c r="N97" s="65" t="s">
        <v>224</v>
      </c>
    </row>
    <row r="98" spans="13:14" x14ac:dyDescent="0.25">
      <c r="M98" s="65" t="s">
        <v>225</v>
      </c>
      <c r="N98" s="65" t="s">
        <v>226</v>
      </c>
    </row>
    <row r="99" spans="13:14" x14ac:dyDescent="0.25">
      <c r="M99" s="65" t="s">
        <v>227</v>
      </c>
      <c r="N99" s="65" t="s">
        <v>228</v>
      </c>
    </row>
    <row r="100" spans="13:14" x14ac:dyDescent="0.25">
      <c r="M100" s="65" t="s">
        <v>229</v>
      </c>
      <c r="N100" s="65" t="s">
        <v>230</v>
      </c>
    </row>
    <row r="101" spans="13:14" x14ac:dyDescent="0.25">
      <c r="M101" s="65" t="s">
        <v>231</v>
      </c>
      <c r="N101" s="65" t="s">
        <v>232</v>
      </c>
    </row>
    <row r="102" spans="13:14" x14ac:dyDescent="0.25">
      <c r="M102" s="65" t="s">
        <v>233</v>
      </c>
      <c r="N102" s="65" t="s">
        <v>234</v>
      </c>
    </row>
    <row r="103" spans="13:14" x14ac:dyDescent="0.25">
      <c r="M103" s="65" t="s">
        <v>235</v>
      </c>
      <c r="N103" s="65" t="s">
        <v>236</v>
      </c>
    </row>
    <row r="104" spans="13:14" x14ac:dyDescent="0.25">
      <c r="M104" s="65" t="s">
        <v>237</v>
      </c>
      <c r="N104" s="65" t="s">
        <v>238</v>
      </c>
    </row>
    <row r="105" spans="13:14" x14ac:dyDescent="0.25">
      <c r="M105" s="65" t="s">
        <v>239</v>
      </c>
      <c r="N105" s="65" t="s">
        <v>240</v>
      </c>
    </row>
    <row r="106" spans="13:14" x14ac:dyDescent="0.25">
      <c r="M106" s="65" t="s">
        <v>241</v>
      </c>
      <c r="N106" s="65" t="s">
        <v>242</v>
      </c>
    </row>
    <row r="107" spans="13:14" x14ac:dyDescent="0.25">
      <c r="M107" s="65" t="s">
        <v>243</v>
      </c>
      <c r="N107" s="65" t="s">
        <v>244</v>
      </c>
    </row>
    <row r="108" spans="13:14" x14ac:dyDescent="0.25">
      <c r="M108" s="65" t="s">
        <v>245</v>
      </c>
      <c r="N108" s="65" t="s">
        <v>246</v>
      </c>
    </row>
    <row r="109" spans="13:14" x14ac:dyDescent="0.25">
      <c r="M109" s="65" t="s">
        <v>247</v>
      </c>
      <c r="N109" s="65" t="s">
        <v>248</v>
      </c>
    </row>
    <row r="110" spans="13:14" x14ac:dyDescent="0.25">
      <c r="M110" s="65" t="s">
        <v>249</v>
      </c>
      <c r="N110" s="65" t="s">
        <v>250</v>
      </c>
    </row>
    <row r="111" spans="13:14" x14ac:dyDescent="0.25">
      <c r="M111" s="65" t="s">
        <v>251</v>
      </c>
      <c r="N111" s="65" t="s">
        <v>252</v>
      </c>
    </row>
    <row r="112" spans="13:14" x14ac:dyDescent="0.25">
      <c r="M112" s="65" t="s">
        <v>253</v>
      </c>
      <c r="N112" s="65" t="s">
        <v>254</v>
      </c>
    </row>
    <row r="113" spans="13:14" x14ac:dyDescent="0.25">
      <c r="M113" s="65" t="s">
        <v>255</v>
      </c>
      <c r="N113" s="65" t="s">
        <v>256</v>
      </c>
    </row>
    <row r="114" spans="13:14" x14ac:dyDescent="0.25">
      <c r="M114" s="65" t="s">
        <v>257</v>
      </c>
      <c r="N114" s="65" t="s">
        <v>258</v>
      </c>
    </row>
    <row r="115" spans="13:14" x14ac:dyDescent="0.25">
      <c r="M115" s="65" t="s">
        <v>259</v>
      </c>
      <c r="N115" s="65" t="s">
        <v>260</v>
      </c>
    </row>
    <row r="116" spans="13:14" x14ac:dyDescent="0.25">
      <c r="M116" s="65" t="s">
        <v>261</v>
      </c>
      <c r="N116" s="65" t="s">
        <v>262</v>
      </c>
    </row>
    <row r="117" spans="13:14" x14ac:dyDescent="0.25">
      <c r="M117" s="65" t="s">
        <v>263</v>
      </c>
      <c r="N117" s="65" t="s">
        <v>264</v>
      </c>
    </row>
    <row r="118" spans="13:14" x14ac:dyDescent="0.25">
      <c r="M118" s="65" t="s">
        <v>265</v>
      </c>
      <c r="N118" s="65" t="s">
        <v>266</v>
      </c>
    </row>
    <row r="119" spans="13:14" x14ac:dyDescent="0.25">
      <c r="M119" s="65" t="s">
        <v>267</v>
      </c>
      <c r="N119" s="65" t="s">
        <v>268</v>
      </c>
    </row>
    <row r="120" spans="13:14" x14ac:dyDescent="0.25">
      <c r="M120" s="65" t="s">
        <v>269</v>
      </c>
      <c r="N120" s="65" t="s">
        <v>270</v>
      </c>
    </row>
    <row r="121" spans="13:14" x14ac:dyDescent="0.25">
      <c r="M121" s="65" t="s">
        <v>271</v>
      </c>
      <c r="N121" s="65" t="s">
        <v>272</v>
      </c>
    </row>
    <row r="122" spans="13:14" x14ac:dyDescent="0.25">
      <c r="M122" s="65" t="s">
        <v>273</v>
      </c>
      <c r="N122" s="65" t="s">
        <v>274</v>
      </c>
    </row>
    <row r="123" spans="13:14" x14ac:dyDescent="0.25">
      <c r="M123" s="65" t="s">
        <v>275</v>
      </c>
      <c r="N123" s="65" t="s">
        <v>276</v>
      </c>
    </row>
    <row r="124" spans="13:14" x14ac:dyDescent="0.25">
      <c r="M124" s="65" t="s">
        <v>277</v>
      </c>
      <c r="N124" s="65" t="s">
        <v>278</v>
      </c>
    </row>
    <row r="125" spans="13:14" x14ac:dyDescent="0.25">
      <c r="M125" s="65" t="s">
        <v>279</v>
      </c>
      <c r="N125" s="65" t="s">
        <v>280</v>
      </c>
    </row>
    <row r="126" spans="13:14" x14ac:dyDescent="0.25">
      <c r="M126" s="65" t="s">
        <v>281</v>
      </c>
      <c r="N126" s="65" t="s">
        <v>282</v>
      </c>
    </row>
    <row r="127" spans="13:14" x14ac:dyDescent="0.25">
      <c r="M127" s="65" t="s">
        <v>283</v>
      </c>
      <c r="N127" s="65" t="s">
        <v>284</v>
      </c>
    </row>
    <row r="128" spans="13:14" x14ac:dyDescent="0.25">
      <c r="M128" s="65" t="s">
        <v>285</v>
      </c>
      <c r="N128" s="65" t="s">
        <v>286</v>
      </c>
    </row>
    <row r="129" spans="13:14" x14ac:dyDescent="0.25">
      <c r="M129" s="65" t="s">
        <v>287</v>
      </c>
      <c r="N129" s="65" t="s">
        <v>288</v>
      </c>
    </row>
    <row r="130" spans="13:14" x14ac:dyDescent="0.25">
      <c r="M130" s="65" t="s">
        <v>289</v>
      </c>
      <c r="N130" s="65" t="s">
        <v>290</v>
      </c>
    </row>
    <row r="131" spans="13:14" x14ac:dyDescent="0.25">
      <c r="M131" s="65" t="s">
        <v>291</v>
      </c>
      <c r="N131" s="65" t="s">
        <v>292</v>
      </c>
    </row>
    <row r="132" spans="13:14" x14ac:dyDescent="0.25">
      <c r="M132" s="65" t="s">
        <v>293</v>
      </c>
      <c r="N132" s="65" t="s">
        <v>294</v>
      </c>
    </row>
    <row r="133" spans="13:14" x14ac:dyDescent="0.25">
      <c r="M133" s="65" t="s">
        <v>295</v>
      </c>
      <c r="N133" s="65" t="s">
        <v>296</v>
      </c>
    </row>
    <row r="134" spans="13:14" x14ac:dyDescent="0.25">
      <c r="M134" s="65" t="s">
        <v>297</v>
      </c>
      <c r="N134" s="65" t="s">
        <v>298</v>
      </c>
    </row>
    <row r="135" spans="13:14" x14ac:dyDescent="0.25">
      <c r="M135" s="65" t="s">
        <v>299</v>
      </c>
      <c r="N135" s="65" t="s">
        <v>300</v>
      </c>
    </row>
    <row r="136" spans="13:14" x14ac:dyDescent="0.25">
      <c r="M136" s="65" t="s">
        <v>301</v>
      </c>
      <c r="N136" s="65" t="s">
        <v>302</v>
      </c>
    </row>
    <row r="137" spans="13:14" x14ac:dyDescent="0.25">
      <c r="M137" s="65" t="s">
        <v>303</v>
      </c>
      <c r="N137" s="65" t="s">
        <v>304</v>
      </c>
    </row>
    <row r="138" spans="13:14" x14ac:dyDescent="0.25">
      <c r="M138" s="65" t="s">
        <v>305</v>
      </c>
      <c r="N138" s="65" t="s">
        <v>306</v>
      </c>
    </row>
    <row r="139" spans="13:14" x14ac:dyDescent="0.25">
      <c r="M139" s="65" t="s">
        <v>307</v>
      </c>
      <c r="N139" s="65" t="s">
        <v>308</v>
      </c>
    </row>
    <row r="140" spans="13:14" x14ac:dyDescent="0.25">
      <c r="M140" s="65" t="s">
        <v>309</v>
      </c>
      <c r="N140" s="65" t="s">
        <v>310</v>
      </c>
    </row>
    <row r="141" spans="13:14" x14ac:dyDescent="0.25">
      <c r="M141" s="65" t="s">
        <v>311</v>
      </c>
      <c r="N141" s="65" t="s">
        <v>312</v>
      </c>
    </row>
    <row r="142" spans="13:14" x14ac:dyDescent="0.25">
      <c r="M142" s="65" t="s">
        <v>313</v>
      </c>
      <c r="N142" s="65" t="s">
        <v>314</v>
      </c>
    </row>
    <row r="143" spans="13:14" x14ac:dyDescent="0.25">
      <c r="M143" s="65" t="s">
        <v>315</v>
      </c>
      <c r="N143" s="65" t="s">
        <v>316</v>
      </c>
    </row>
    <row r="144" spans="13:14" x14ac:dyDescent="0.25">
      <c r="M144" s="65" t="s">
        <v>317</v>
      </c>
      <c r="N144" s="65" t="s">
        <v>318</v>
      </c>
    </row>
    <row r="145" spans="13:14" x14ac:dyDescent="0.25">
      <c r="M145" s="65" t="s">
        <v>319</v>
      </c>
      <c r="N145" s="65" t="s">
        <v>320</v>
      </c>
    </row>
    <row r="146" spans="13:14" x14ac:dyDescent="0.25">
      <c r="M146" s="65" t="s">
        <v>321</v>
      </c>
      <c r="N146" s="65" t="s">
        <v>322</v>
      </c>
    </row>
    <row r="147" spans="13:14" x14ac:dyDescent="0.25">
      <c r="M147" s="65" t="s">
        <v>323</v>
      </c>
      <c r="N147" s="65" t="s">
        <v>324</v>
      </c>
    </row>
    <row r="148" spans="13:14" x14ac:dyDescent="0.25">
      <c r="M148" s="65" t="s">
        <v>325</v>
      </c>
      <c r="N148" s="65" t="s">
        <v>326</v>
      </c>
    </row>
    <row r="149" spans="13:14" x14ac:dyDescent="0.25">
      <c r="M149" s="65" t="s">
        <v>327</v>
      </c>
      <c r="N149" s="65" t="s">
        <v>328</v>
      </c>
    </row>
    <row r="150" spans="13:14" x14ac:dyDescent="0.25">
      <c r="M150" s="65" t="s">
        <v>329</v>
      </c>
      <c r="N150" s="65" t="s">
        <v>330</v>
      </c>
    </row>
    <row r="151" spans="13:14" x14ac:dyDescent="0.25">
      <c r="M151" s="65" t="s">
        <v>331</v>
      </c>
      <c r="N151" s="65" t="s">
        <v>332</v>
      </c>
    </row>
    <row r="152" spans="13:14" x14ac:dyDescent="0.25">
      <c r="M152" s="65" t="s">
        <v>333</v>
      </c>
      <c r="N152" s="65" t="s">
        <v>334</v>
      </c>
    </row>
    <row r="153" spans="13:14" x14ac:dyDescent="0.25">
      <c r="M153" s="65" t="s">
        <v>335</v>
      </c>
      <c r="N153" s="65" t="s">
        <v>336</v>
      </c>
    </row>
    <row r="154" spans="13:14" x14ac:dyDescent="0.25">
      <c r="M154" s="65" t="s">
        <v>337</v>
      </c>
      <c r="N154" s="65" t="s">
        <v>338</v>
      </c>
    </row>
    <row r="155" spans="13:14" x14ac:dyDescent="0.25">
      <c r="M155" s="65" t="s">
        <v>339</v>
      </c>
      <c r="N155" s="65" t="s">
        <v>340</v>
      </c>
    </row>
    <row r="156" spans="13:14" x14ac:dyDescent="0.25">
      <c r="M156" s="65" t="s">
        <v>341</v>
      </c>
      <c r="N156" s="65" t="s">
        <v>342</v>
      </c>
    </row>
    <row r="157" spans="13:14" x14ac:dyDescent="0.25">
      <c r="M157" s="65" t="s">
        <v>343</v>
      </c>
      <c r="N157" s="65" t="s">
        <v>344</v>
      </c>
    </row>
    <row r="158" spans="13:14" x14ac:dyDescent="0.25">
      <c r="M158" s="65" t="s">
        <v>345</v>
      </c>
      <c r="N158" s="65" t="s">
        <v>346</v>
      </c>
    </row>
    <row r="159" spans="13:14" x14ac:dyDescent="0.25">
      <c r="M159" s="65" t="s">
        <v>347</v>
      </c>
      <c r="N159" s="65" t="s">
        <v>348</v>
      </c>
    </row>
    <row r="160" spans="13:14" x14ac:dyDescent="0.25">
      <c r="M160" s="65" t="s">
        <v>349</v>
      </c>
      <c r="N160" s="65" t="s">
        <v>350</v>
      </c>
    </row>
    <row r="161" spans="13:14" x14ac:dyDescent="0.25">
      <c r="M161" s="65" t="s">
        <v>351</v>
      </c>
      <c r="N161" s="65" t="s">
        <v>352</v>
      </c>
    </row>
    <row r="162" spans="13:14" x14ac:dyDescent="0.25">
      <c r="M162" s="65" t="s">
        <v>353</v>
      </c>
      <c r="N162" s="65" t="s">
        <v>354</v>
      </c>
    </row>
    <row r="163" spans="13:14" x14ac:dyDescent="0.25">
      <c r="M163" s="65" t="s">
        <v>355</v>
      </c>
      <c r="N163" s="65" t="s">
        <v>356</v>
      </c>
    </row>
    <row r="164" spans="13:14" x14ac:dyDescent="0.25">
      <c r="M164" s="65" t="s">
        <v>357</v>
      </c>
      <c r="N164" s="65" t="s">
        <v>358</v>
      </c>
    </row>
    <row r="165" spans="13:14" x14ac:dyDescent="0.25">
      <c r="M165" s="65" t="s">
        <v>359</v>
      </c>
      <c r="N165" s="65" t="s">
        <v>360</v>
      </c>
    </row>
    <row r="166" spans="13:14" x14ac:dyDescent="0.25">
      <c r="M166" s="65" t="s">
        <v>361</v>
      </c>
      <c r="N166" s="65" t="s">
        <v>362</v>
      </c>
    </row>
    <row r="167" spans="13:14" x14ac:dyDescent="0.25">
      <c r="M167" s="65" t="s">
        <v>363</v>
      </c>
      <c r="N167" s="65" t="s">
        <v>364</v>
      </c>
    </row>
    <row r="168" spans="13:14" x14ac:dyDescent="0.25">
      <c r="M168" s="65" t="s">
        <v>365</v>
      </c>
      <c r="N168" s="65" t="s">
        <v>366</v>
      </c>
    </row>
    <row r="169" spans="13:14" x14ac:dyDescent="0.25">
      <c r="M169" s="65" t="s">
        <v>367</v>
      </c>
      <c r="N169" s="65" t="s">
        <v>368</v>
      </c>
    </row>
    <row r="170" spans="13:14" x14ac:dyDescent="0.25">
      <c r="M170" s="65" t="s">
        <v>369</v>
      </c>
      <c r="N170" s="65" t="s">
        <v>370</v>
      </c>
    </row>
    <row r="171" spans="13:14" x14ac:dyDescent="0.25">
      <c r="M171" s="65" t="s">
        <v>371</v>
      </c>
      <c r="N171" s="65" t="s">
        <v>372</v>
      </c>
    </row>
    <row r="172" spans="13:14" x14ac:dyDescent="0.25">
      <c r="M172" s="65" t="s">
        <v>373</v>
      </c>
      <c r="N172" s="65" t="s">
        <v>374</v>
      </c>
    </row>
    <row r="173" spans="13:14" x14ac:dyDescent="0.25">
      <c r="M173" s="65" t="s">
        <v>375</v>
      </c>
      <c r="N173" s="65" t="s">
        <v>376</v>
      </c>
    </row>
    <row r="174" spans="13:14" x14ac:dyDescent="0.25">
      <c r="M174" s="65" t="s">
        <v>377</v>
      </c>
      <c r="N174" s="65" t="s">
        <v>378</v>
      </c>
    </row>
    <row r="175" spans="13:14" x14ac:dyDescent="0.25">
      <c r="M175" s="65" t="s">
        <v>379</v>
      </c>
      <c r="N175" s="65" t="s">
        <v>380</v>
      </c>
    </row>
    <row r="176" spans="13:14" x14ac:dyDescent="0.25">
      <c r="M176" s="65" t="s">
        <v>381</v>
      </c>
      <c r="N176" s="65" t="s">
        <v>382</v>
      </c>
    </row>
    <row r="177" spans="13:14" x14ac:dyDescent="0.25">
      <c r="M177" s="65" t="s">
        <v>383</v>
      </c>
      <c r="N177" s="65" t="s">
        <v>384</v>
      </c>
    </row>
    <row r="178" spans="13:14" x14ac:dyDescent="0.25">
      <c r="M178" s="65" t="s">
        <v>385</v>
      </c>
      <c r="N178" s="65" t="s">
        <v>386</v>
      </c>
    </row>
    <row r="179" spans="13:14" x14ac:dyDescent="0.25">
      <c r="M179" s="65" t="s">
        <v>387</v>
      </c>
      <c r="N179" s="65" t="s">
        <v>388</v>
      </c>
    </row>
    <row r="180" spans="13:14" x14ac:dyDescent="0.25">
      <c r="M180" s="65" t="s">
        <v>389</v>
      </c>
      <c r="N180" s="65" t="s">
        <v>390</v>
      </c>
    </row>
    <row r="181" spans="13:14" x14ac:dyDescent="0.25">
      <c r="M181" s="65" t="s">
        <v>391</v>
      </c>
      <c r="N181" s="65" t="s">
        <v>392</v>
      </c>
    </row>
    <row r="182" spans="13:14" x14ac:dyDescent="0.25">
      <c r="M182" s="65" t="s">
        <v>393</v>
      </c>
      <c r="N182" s="65" t="s">
        <v>394</v>
      </c>
    </row>
    <row r="183" spans="13:14" x14ac:dyDescent="0.25">
      <c r="M183" s="65" t="s">
        <v>395</v>
      </c>
      <c r="N183" s="65" t="s">
        <v>396</v>
      </c>
    </row>
    <row r="184" spans="13:14" x14ac:dyDescent="0.25">
      <c r="M184" s="65" t="s">
        <v>397</v>
      </c>
      <c r="N184" s="65" t="s">
        <v>398</v>
      </c>
    </row>
    <row r="185" spans="13:14" x14ac:dyDescent="0.25">
      <c r="M185" s="65" t="s">
        <v>399</v>
      </c>
      <c r="N185" s="65" t="s">
        <v>400</v>
      </c>
    </row>
    <row r="186" spans="13:14" x14ac:dyDescent="0.25">
      <c r="M186" s="65" t="s">
        <v>401</v>
      </c>
      <c r="N186" s="65" t="s">
        <v>402</v>
      </c>
    </row>
    <row r="187" spans="13:14" x14ac:dyDescent="0.25">
      <c r="M187" s="65" t="s">
        <v>403</v>
      </c>
      <c r="N187" s="65" t="s">
        <v>404</v>
      </c>
    </row>
    <row r="188" spans="13:14" x14ac:dyDescent="0.25">
      <c r="M188" s="65" t="s">
        <v>405</v>
      </c>
      <c r="N188" s="65" t="s">
        <v>406</v>
      </c>
    </row>
    <row r="189" spans="13:14" x14ac:dyDescent="0.25">
      <c r="M189" s="65" t="s">
        <v>407</v>
      </c>
      <c r="N189" s="65" t="s">
        <v>408</v>
      </c>
    </row>
    <row r="190" spans="13:14" x14ac:dyDescent="0.25">
      <c r="M190" s="65" t="s">
        <v>409</v>
      </c>
      <c r="N190" s="65" t="s">
        <v>410</v>
      </c>
    </row>
    <row r="191" spans="13:14" x14ac:dyDescent="0.25">
      <c r="M191" s="65" t="s">
        <v>411</v>
      </c>
      <c r="N191" s="65" t="s">
        <v>412</v>
      </c>
    </row>
    <row r="192" spans="13:14" x14ac:dyDescent="0.25">
      <c r="M192" s="65" t="s">
        <v>413</v>
      </c>
      <c r="N192" s="65" t="s">
        <v>414</v>
      </c>
    </row>
    <row r="193" spans="13:14" x14ac:dyDescent="0.25">
      <c r="M193" s="65" t="s">
        <v>415</v>
      </c>
      <c r="N193" s="65" t="s">
        <v>416</v>
      </c>
    </row>
    <row r="194" spans="13:14" x14ac:dyDescent="0.25">
      <c r="M194" s="65" t="s">
        <v>417</v>
      </c>
      <c r="N194" s="65" t="s">
        <v>418</v>
      </c>
    </row>
    <row r="195" spans="13:14" x14ac:dyDescent="0.25">
      <c r="M195" s="65" t="s">
        <v>419</v>
      </c>
      <c r="N195" s="65" t="s">
        <v>420</v>
      </c>
    </row>
    <row r="196" spans="13:14" x14ac:dyDescent="0.25">
      <c r="M196" s="65" t="s">
        <v>421</v>
      </c>
      <c r="N196" s="65" t="s">
        <v>422</v>
      </c>
    </row>
    <row r="197" spans="13:14" x14ac:dyDescent="0.25">
      <c r="M197" s="65" t="s">
        <v>423</v>
      </c>
      <c r="N197" s="65" t="s">
        <v>424</v>
      </c>
    </row>
    <row r="198" spans="13:14" x14ac:dyDescent="0.25">
      <c r="M198" s="65" t="s">
        <v>425</v>
      </c>
      <c r="N198" s="65" t="s">
        <v>426</v>
      </c>
    </row>
    <row r="199" spans="13:14" x14ac:dyDescent="0.25">
      <c r="M199" s="65" t="s">
        <v>427</v>
      </c>
      <c r="N199" s="65" t="s">
        <v>428</v>
      </c>
    </row>
    <row r="200" spans="13:14" x14ac:dyDescent="0.25">
      <c r="M200" s="65" t="s">
        <v>429</v>
      </c>
      <c r="N200" s="65" t="s">
        <v>430</v>
      </c>
    </row>
    <row r="201" spans="13:14" x14ac:dyDescent="0.25">
      <c r="M201" s="65" t="s">
        <v>431</v>
      </c>
      <c r="N201" s="65" t="s">
        <v>432</v>
      </c>
    </row>
    <row r="202" spans="13:14" x14ac:dyDescent="0.25">
      <c r="M202" s="65" t="s">
        <v>433</v>
      </c>
      <c r="N202" s="65" t="s">
        <v>434</v>
      </c>
    </row>
    <row r="203" spans="13:14" x14ac:dyDescent="0.25">
      <c r="M203" s="65" t="s">
        <v>435</v>
      </c>
      <c r="N203" s="65" t="s">
        <v>436</v>
      </c>
    </row>
    <row r="204" spans="13:14" x14ac:dyDescent="0.25">
      <c r="M204" s="65" t="s">
        <v>437</v>
      </c>
      <c r="N204" s="65" t="s">
        <v>438</v>
      </c>
    </row>
    <row r="205" spans="13:14" x14ac:dyDescent="0.25">
      <c r="M205" s="65" t="s">
        <v>439</v>
      </c>
      <c r="N205" s="65" t="s">
        <v>440</v>
      </c>
    </row>
    <row r="206" spans="13:14" x14ac:dyDescent="0.25">
      <c r="M206" s="65" t="s">
        <v>441</v>
      </c>
      <c r="N206" s="65" t="s">
        <v>442</v>
      </c>
    </row>
    <row r="207" spans="13:14" x14ac:dyDescent="0.25">
      <c r="M207" s="65" t="s">
        <v>443</v>
      </c>
      <c r="N207" s="65" t="s">
        <v>444</v>
      </c>
    </row>
    <row r="208" spans="13:14" x14ac:dyDescent="0.25">
      <c r="M208" s="65" t="s">
        <v>445</v>
      </c>
      <c r="N208" s="65" t="s">
        <v>446</v>
      </c>
    </row>
    <row r="209" spans="13:14" x14ac:dyDescent="0.25">
      <c r="M209" s="65" t="s">
        <v>447</v>
      </c>
      <c r="N209" s="65" t="s">
        <v>448</v>
      </c>
    </row>
    <row r="210" spans="13:14" x14ac:dyDescent="0.25">
      <c r="M210" s="65" t="s">
        <v>449</v>
      </c>
      <c r="N210" s="65" t="s">
        <v>450</v>
      </c>
    </row>
    <row r="211" spans="13:14" x14ac:dyDescent="0.25">
      <c r="M211" s="65" t="s">
        <v>451</v>
      </c>
      <c r="N211" s="65" t="s">
        <v>452</v>
      </c>
    </row>
    <row r="212" spans="13:14" x14ac:dyDescent="0.25">
      <c r="M212" s="65" t="s">
        <v>453</v>
      </c>
      <c r="N212" s="65" t="s">
        <v>454</v>
      </c>
    </row>
    <row r="213" spans="13:14" x14ac:dyDescent="0.25">
      <c r="M213" s="65" t="s">
        <v>455</v>
      </c>
      <c r="N213" s="65" t="s">
        <v>456</v>
      </c>
    </row>
    <row r="214" spans="13:14" x14ac:dyDescent="0.25">
      <c r="M214" s="65" t="s">
        <v>457</v>
      </c>
      <c r="N214" s="65" t="s">
        <v>458</v>
      </c>
    </row>
    <row r="215" spans="13:14" x14ac:dyDescent="0.25">
      <c r="M215" s="65" t="s">
        <v>459</v>
      </c>
      <c r="N215" s="65" t="s">
        <v>460</v>
      </c>
    </row>
    <row r="216" spans="13:14" x14ac:dyDescent="0.25">
      <c r="M216" s="65" t="s">
        <v>461</v>
      </c>
      <c r="N216" s="65" t="s">
        <v>462</v>
      </c>
    </row>
    <row r="217" spans="13:14" x14ac:dyDescent="0.25">
      <c r="M217" s="65" t="s">
        <v>463</v>
      </c>
      <c r="N217" s="65" t="s">
        <v>464</v>
      </c>
    </row>
    <row r="218" spans="13:14" x14ac:dyDescent="0.25">
      <c r="M218" s="65" t="s">
        <v>465</v>
      </c>
      <c r="N218" s="65" t="s">
        <v>466</v>
      </c>
    </row>
    <row r="219" spans="13:14" x14ac:dyDescent="0.25">
      <c r="M219" s="65" t="s">
        <v>467</v>
      </c>
      <c r="N219" s="65" t="s">
        <v>468</v>
      </c>
    </row>
    <row r="220" spans="13:14" x14ac:dyDescent="0.25">
      <c r="M220" s="65" t="s">
        <v>469</v>
      </c>
      <c r="N220" s="65" t="s">
        <v>470</v>
      </c>
    </row>
    <row r="221" spans="13:14" x14ac:dyDescent="0.25">
      <c r="M221" s="65" t="s">
        <v>471</v>
      </c>
      <c r="N221" s="65" t="s">
        <v>472</v>
      </c>
    </row>
    <row r="222" spans="13:14" x14ac:dyDescent="0.25">
      <c r="M222" s="65" t="s">
        <v>473</v>
      </c>
      <c r="N222" s="65" t="s">
        <v>474</v>
      </c>
    </row>
    <row r="223" spans="13:14" x14ac:dyDescent="0.25">
      <c r="M223" s="65" t="s">
        <v>475</v>
      </c>
      <c r="N223" s="65" t="s">
        <v>476</v>
      </c>
    </row>
    <row r="224" spans="13:14" x14ac:dyDescent="0.25">
      <c r="M224" s="65" t="s">
        <v>477</v>
      </c>
      <c r="N224" s="65" t="s">
        <v>478</v>
      </c>
    </row>
    <row r="225" spans="13:14" x14ac:dyDescent="0.25">
      <c r="M225" s="65" t="s">
        <v>479</v>
      </c>
      <c r="N225" s="65" t="s">
        <v>480</v>
      </c>
    </row>
    <row r="226" spans="13:14" x14ac:dyDescent="0.25">
      <c r="M226" s="65" t="s">
        <v>481</v>
      </c>
      <c r="N226" s="65" t="s">
        <v>482</v>
      </c>
    </row>
    <row r="227" spans="13:14" x14ac:dyDescent="0.25">
      <c r="M227" s="65" t="s">
        <v>483</v>
      </c>
      <c r="N227" s="65" t="s">
        <v>484</v>
      </c>
    </row>
    <row r="228" spans="13:14" x14ac:dyDescent="0.25">
      <c r="M228" s="65" t="s">
        <v>485</v>
      </c>
      <c r="N228" s="65" t="s">
        <v>486</v>
      </c>
    </row>
    <row r="229" spans="13:14" x14ac:dyDescent="0.25">
      <c r="M229" s="65" t="s">
        <v>487</v>
      </c>
      <c r="N229" s="65" t="s">
        <v>488</v>
      </c>
    </row>
    <row r="230" spans="13:14" x14ac:dyDescent="0.25">
      <c r="M230" s="65" t="s">
        <v>489</v>
      </c>
      <c r="N230" s="65" t="s">
        <v>490</v>
      </c>
    </row>
    <row r="231" spans="13:14" x14ac:dyDescent="0.25">
      <c r="M231" s="65" t="s">
        <v>491</v>
      </c>
      <c r="N231" s="65" t="s">
        <v>492</v>
      </c>
    </row>
    <row r="232" spans="13:14" x14ac:dyDescent="0.25">
      <c r="M232" s="65" t="s">
        <v>493</v>
      </c>
      <c r="N232" s="65" t="s">
        <v>494</v>
      </c>
    </row>
    <row r="233" spans="13:14" x14ac:dyDescent="0.25">
      <c r="M233" s="65" t="s">
        <v>495</v>
      </c>
      <c r="N233" s="65" t="s">
        <v>496</v>
      </c>
    </row>
    <row r="234" spans="13:14" x14ac:dyDescent="0.25">
      <c r="M234" s="65" t="s">
        <v>497</v>
      </c>
      <c r="N234" s="65" t="s">
        <v>498</v>
      </c>
    </row>
    <row r="235" spans="13:14" x14ac:dyDescent="0.25">
      <c r="M235" s="65" t="s">
        <v>499</v>
      </c>
      <c r="N235" s="65" t="s">
        <v>500</v>
      </c>
    </row>
    <row r="236" spans="13:14" x14ac:dyDescent="0.25">
      <c r="M236" s="65" t="s">
        <v>501</v>
      </c>
      <c r="N236" s="65" t="s">
        <v>502</v>
      </c>
    </row>
    <row r="237" spans="13:14" x14ac:dyDescent="0.25">
      <c r="M237" s="65" t="s">
        <v>503</v>
      </c>
      <c r="N237" s="65" t="s">
        <v>504</v>
      </c>
    </row>
    <row r="238" spans="13:14" x14ac:dyDescent="0.25">
      <c r="M238" s="65" t="s">
        <v>505</v>
      </c>
      <c r="N238" s="65" t="s">
        <v>506</v>
      </c>
    </row>
    <row r="239" spans="13:14" x14ac:dyDescent="0.25">
      <c r="M239" s="65" t="s">
        <v>507</v>
      </c>
      <c r="N239" s="65" t="s">
        <v>508</v>
      </c>
    </row>
    <row r="240" spans="13:14" x14ac:dyDescent="0.25">
      <c r="M240" s="65" t="s">
        <v>509</v>
      </c>
      <c r="N240" s="65" t="s">
        <v>510</v>
      </c>
    </row>
    <row r="241" spans="13:14" x14ac:dyDescent="0.25">
      <c r="M241" s="65" t="s">
        <v>511</v>
      </c>
      <c r="N241" s="65" t="s">
        <v>512</v>
      </c>
    </row>
    <row r="242" spans="13:14" x14ac:dyDescent="0.25">
      <c r="M242" s="65" t="s">
        <v>513</v>
      </c>
      <c r="N242" s="65" t="s">
        <v>514</v>
      </c>
    </row>
    <row r="243" spans="13:14" x14ac:dyDescent="0.25">
      <c r="M243" s="65" t="s">
        <v>515</v>
      </c>
      <c r="N243" s="65" t="s">
        <v>516</v>
      </c>
    </row>
    <row r="244" spans="13:14" x14ac:dyDescent="0.25">
      <c r="M244" s="65" t="s">
        <v>517</v>
      </c>
      <c r="N244" s="65" t="s">
        <v>518</v>
      </c>
    </row>
    <row r="245" spans="13:14" x14ac:dyDescent="0.25">
      <c r="M245" s="65" t="s">
        <v>519</v>
      </c>
      <c r="N245" s="65" t="s">
        <v>520</v>
      </c>
    </row>
    <row r="246" spans="13:14" x14ac:dyDescent="0.25">
      <c r="M246" s="65" t="s">
        <v>521</v>
      </c>
      <c r="N246" s="65" t="s">
        <v>522</v>
      </c>
    </row>
    <row r="247" spans="13:14" x14ac:dyDescent="0.25">
      <c r="M247" s="65" t="s">
        <v>523</v>
      </c>
      <c r="N247" s="65" t="s">
        <v>524</v>
      </c>
    </row>
    <row r="248" spans="13:14" x14ac:dyDescent="0.25">
      <c r="M248" s="65" t="s">
        <v>525</v>
      </c>
      <c r="N248" s="65" t="s">
        <v>526</v>
      </c>
    </row>
    <row r="249" spans="13:14" x14ac:dyDescent="0.25">
      <c r="M249" s="65" t="s">
        <v>527</v>
      </c>
      <c r="N249" s="65" t="s">
        <v>528</v>
      </c>
    </row>
    <row r="250" spans="13:14" x14ac:dyDescent="0.25">
      <c r="M250" s="65" t="s">
        <v>529</v>
      </c>
      <c r="N250" s="65" t="s">
        <v>530</v>
      </c>
    </row>
    <row r="251" spans="13:14" x14ac:dyDescent="0.25">
      <c r="M251" s="65" t="s">
        <v>531</v>
      </c>
      <c r="N251" s="65" t="s">
        <v>532</v>
      </c>
    </row>
    <row r="252" spans="13:14" x14ac:dyDescent="0.25">
      <c r="M252" s="65" t="s">
        <v>533</v>
      </c>
      <c r="N252" s="65" t="s">
        <v>534</v>
      </c>
    </row>
    <row r="253" spans="13:14" x14ac:dyDescent="0.25">
      <c r="M253" s="65" t="s">
        <v>535</v>
      </c>
      <c r="N253" s="65" t="s">
        <v>536</v>
      </c>
    </row>
    <row r="254" spans="13:14" x14ac:dyDescent="0.25">
      <c r="M254" s="65" t="s">
        <v>537</v>
      </c>
      <c r="N254" s="65" t="s">
        <v>538</v>
      </c>
    </row>
    <row r="255" spans="13:14" x14ac:dyDescent="0.25">
      <c r="M255" s="65" t="s">
        <v>539</v>
      </c>
      <c r="N255" s="65" t="s">
        <v>540</v>
      </c>
    </row>
    <row r="256" spans="13:14" x14ac:dyDescent="0.25">
      <c r="M256" s="65" t="s">
        <v>541</v>
      </c>
      <c r="N256" s="65" t="s">
        <v>542</v>
      </c>
    </row>
    <row r="257" spans="13:14" x14ac:dyDescent="0.25">
      <c r="M257" s="65" t="s">
        <v>543</v>
      </c>
      <c r="N257" s="65" t="s">
        <v>544</v>
      </c>
    </row>
    <row r="258" spans="13:14" x14ac:dyDescent="0.25">
      <c r="M258" s="65" t="s">
        <v>545</v>
      </c>
      <c r="N258" s="65" t="s">
        <v>546</v>
      </c>
    </row>
    <row r="259" spans="13:14" x14ac:dyDescent="0.25">
      <c r="M259" s="65" t="s">
        <v>547</v>
      </c>
      <c r="N259" s="65" t="s">
        <v>548</v>
      </c>
    </row>
    <row r="260" spans="13:14" x14ac:dyDescent="0.25">
      <c r="M260" s="65" t="s">
        <v>549</v>
      </c>
      <c r="N260" s="65" t="s">
        <v>550</v>
      </c>
    </row>
    <row r="261" spans="13:14" x14ac:dyDescent="0.25">
      <c r="M261" s="65" t="s">
        <v>551</v>
      </c>
      <c r="N261" s="65" t="s">
        <v>552</v>
      </c>
    </row>
    <row r="262" spans="13:14" x14ac:dyDescent="0.25">
      <c r="M262" s="65" t="s">
        <v>553</v>
      </c>
      <c r="N262" s="65" t="s">
        <v>554</v>
      </c>
    </row>
    <row r="263" spans="13:14" x14ac:dyDescent="0.25">
      <c r="M263" s="65" t="s">
        <v>555</v>
      </c>
      <c r="N263" s="65" t="s">
        <v>556</v>
      </c>
    </row>
    <row r="264" spans="13:14" x14ac:dyDescent="0.25">
      <c r="M264" s="65" t="s">
        <v>557</v>
      </c>
      <c r="N264" s="65" t="s">
        <v>558</v>
      </c>
    </row>
    <row r="265" spans="13:14" x14ac:dyDescent="0.25">
      <c r="M265" s="65" t="s">
        <v>559</v>
      </c>
      <c r="N265" s="65" t="s">
        <v>560</v>
      </c>
    </row>
    <row r="266" spans="13:14" x14ac:dyDescent="0.25">
      <c r="M266" s="65" t="s">
        <v>561</v>
      </c>
      <c r="N266" s="65" t="s">
        <v>562</v>
      </c>
    </row>
    <row r="267" spans="13:14" x14ac:dyDescent="0.25">
      <c r="M267" s="65" t="s">
        <v>563</v>
      </c>
      <c r="N267" s="65" t="s">
        <v>564</v>
      </c>
    </row>
    <row r="268" spans="13:14" x14ac:dyDescent="0.25">
      <c r="M268" s="65" t="s">
        <v>565</v>
      </c>
      <c r="N268" s="65" t="s">
        <v>566</v>
      </c>
    </row>
    <row r="269" spans="13:14" x14ac:dyDescent="0.25">
      <c r="M269" s="65" t="s">
        <v>567</v>
      </c>
      <c r="N269" s="65" t="s">
        <v>568</v>
      </c>
    </row>
    <row r="270" spans="13:14" x14ac:dyDescent="0.25">
      <c r="M270" s="65" t="s">
        <v>569</v>
      </c>
      <c r="N270" s="65" t="s">
        <v>570</v>
      </c>
    </row>
    <row r="271" spans="13:14" x14ac:dyDescent="0.25">
      <c r="M271" s="65" t="s">
        <v>571</v>
      </c>
      <c r="N271" s="65" t="s">
        <v>572</v>
      </c>
    </row>
    <row r="272" spans="13:14" x14ac:dyDescent="0.25">
      <c r="M272" s="65" t="s">
        <v>573</v>
      </c>
      <c r="N272" s="65" t="s">
        <v>574</v>
      </c>
    </row>
    <row r="273" spans="13:14" x14ac:dyDescent="0.25">
      <c r="M273" s="65" t="s">
        <v>575</v>
      </c>
      <c r="N273" s="65" t="s">
        <v>576</v>
      </c>
    </row>
    <row r="274" spans="13:14" x14ac:dyDescent="0.25">
      <c r="M274" s="65" t="s">
        <v>577</v>
      </c>
      <c r="N274" s="65" t="s">
        <v>578</v>
      </c>
    </row>
    <row r="275" spans="13:14" x14ac:dyDescent="0.25">
      <c r="M275" s="65" t="s">
        <v>579</v>
      </c>
      <c r="N275" s="65" t="s">
        <v>580</v>
      </c>
    </row>
    <row r="276" spans="13:14" x14ac:dyDescent="0.25">
      <c r="M276" s="65" t="s">
        <v>581</v>
      </c>
      <c r="N276" s="65" t="s">
        <v>582</v>
      </c>
    </row>
    <row r="277" spans="13:14" x14ac:dyDescent="0.25">
      <c r="M277" s="65" t="s">
        <v>583</v>
      </c>
      <c r="N277" s="65" t="s">
        <v>584</v>
      </c>
    </row>
    <row r="278" spans="13:14" x14ac:dyDescent="0.25">
      <c r="M278" s="65" t="s">
        <v>585</v>
      </c>
      <c r="N278" s="65" t="s">
        <v>586</v>
      </c>
    </row>
    <row r="279" spans="13:14" x14ac:dyDescent="0.25">
      <c r="M279" s="65" t="s">
        <v>587</v>
      </c>
      <c r="N279" s="65" t="s">
        <v>588</v>
      </c>
    </row>
    <row r="280" spans="13:14" x14ac:dyDescent="0.25">
      <c r="M280" s="65" t="s">
        <v>589</v>
      </c>
      <c r="N280" s="65" t="s">
        <v>590</v>
      </c>
    </row>
    <row r="281" spans="13:14" x14ac:dyDescent="0.25">
      <c r="M281" s="65" t="s">
        <v>591</v>
      </c>
      <c r="N281" s="65" t="s">
        <v>592</v>
      </c>
    </row>
    <row r="282" spans="13:14" x14ac:dyDescent="0.25">
      <c r="M282" s="65" t="s">
        <v>593</v>
      </c>
      <c r="N282" s="65" t="s">
        <v>594</v>
      </c>
    </row>
    <row r="283" spans="13:14" x14ac:dyDescent="0.25">
      <c r="M283" s="65" t="s">
        <v>595</v>
      </c>
      <c r="N283" s="65" t="s">
        <v>596</v>
      </c>
    </row>
    <row r="284" spans="13:14" x14ac:dyDescent="0.25">
      <c r="M284" s="65" t="s">
        <v>597</v>
      </c>
      <c r="N284" s="65" t="s">
        <v>598</v>
      </c>
    </row>
    <row r="285" spans="13:14" x14ac:dyDescent="0.25">
      <c r="M285" s="65" t="s">
        <v>599</v>
      </c>
      <c r="N285" s="65" t="s">
        <v>600</v>
      </c>
    </row>
    <row r="286" spans="13:14" x14ac:dyDescent="0.25">
      <c r="M286" s="65" t="s">
        <v>601</v>
      </c>
      <c r="N286" s="65" t="s">
        <v>602</v>
      </c>
    </row>
    <row r="287" spans="13:14" x14ac:dyDescent="0.25">
      <c r="M287" s="65" t="s">
        <v>603</v>
      </c>
      <c r="N287" s="65" t="s">
        <v>604</v>
      </c>
    </row>
    <row r="288" spans="13:14" x14ac:dyDescent="0.25">
      <c r="M288" s="65" t="s">
        <v>605</v>
      </c>
      <c r="N288" s="65" t="s">
        <v>606</v>
      </c>
    </row>
    <row r="289" spans="13:14" x14ac:dyDescent="0.25">
      <c r="M289" s="65" t="s">
        <v>607</v>
      </c>
      <c r="N289" s="65" t="s">
        <v>608</v>
      </c>
    </row>
    <row r="290" spans="13:14" x14ac:dyDescent="0.25">
      <c r="M290" s="65" t="s">
        <v>609</v>
      </c>
      <c r="N290" s="65" t="s">
        <v>610</v>
      </c>
    </row>
    <row r="291" spans="13:14" x14ac:dyDescent="0.25">
      <c r="M291" s="65" t="s">
        <v>611</v>
      </c>
      <c r="N291" s="65" t="s">
        <v>612</v>
      </c>
    </row>
    <row r="292" spans="13:14" x14ac:dyDescent="0.25">
      <c r="M292" s="65" t="s">
        <v>613</v>
      </c>
      <c r="N292" s="65" t="s">
        <v>614</v>
      </c>
    </row>
    <row r="293" spans="13:14" x14ac:dyDescent="0.25">
      <c r="M293" s="65" t="s">
        <v>615</v>
      </c>
      <c r="N293" s="65" t="s">
        <v>616</v>
      </c>
    </row>
    <row r="294" spans="13:14" x14ac:dyDescent="0.25">
      <c r="M294" s="65" t="s">
        <v>617</v>
      </c>
      <c r="N294" s="65" t="s">
        <v>618</v>
      </c>
    </row>
    <row r="295" spans="13:14" x14ac:dyDescent="0.25">
      <c r="M295" s="65" t="s">
        <v>619</v>
      </c>
      <c r="N295" s="65" t="s">
        <v>620</v>
      </c>
    </row>
    <row r="296" spans="13:14" x14ac:dyDescent="0.25">
      <c r="M296" s="65" t="s">
        <v>621</v>
      </c>
      <c r="N296" s="65" t="s">
        <v>622</v>
      </c>
    </row>
    <row r="297" spans="13:14" x14ac:dyDescent="0.25">
      <c r="M297" s="65" t="s">
        <v>623</v>
      </c>
      <c r="N297" s="65" t="s">
        <v>624</v>
      </c>
    </row>
    <row r="298" spans="13:14" x14ac:dyDescent="0.25">
      <c r="M298" s="65" t="s">
        <v>625</v>
      </c>
      <c r="N298" s="65" t="s">
        <v>626</v>
      </c>
    </row>
    <row r="299" spans="13:14" x14ac:dyDescent="0.25">
      <c r="M299" s="65" t="s">
        <v>627</v>
      </c>
      <c r="N299" s="65" t="s">
        <v>628</v>
      </c>
    </row>
    <row r="300" spans="13:14" x14ac:dyDescent="0.25">
      <c r="M300" s="65" t="s">
        <v>629</v>
      </c>
      <c r="N300" s="65" t="s">
        <v>630</v>
      </c>
    </row>
    <row r="301" spans="13:14" x14ac:dyDescent="0.25">
      <c r="M301" s="65" t="s">
        <v>631</v>
      </c>
      <c r="N301" s="65" t="s">
        <v>632</v>
      </c>
    </row>
    <row r="302" spans="13:14" x14ac:dyDescent="0.25">
      <c r="M302" s="65" t="s">
        <v>633</v>
      </c>
      <c r="N302" s="65" t="s">
        <v>634</v>
      </c>
    </row>
    <row r="303" spans="13:14" x14ac:dyDescent="0.25">
      <c r="M303" s="65" t="s">
        <v>635</v>
      </c>
      <c r="N303" s="65" t="s">
        <v>636</v>
      </c>
    </row>
    <row r="304" spans="13:14" x14ac:dyDescent="0.25">
      <c r="M304" s="65" t="s">
        <v>637</v>
      </c>
      <c r="N304" s="65" t="s">
        <v>638</v>
      </c>
    </row>
    <row r="305" spans="13:14" x14ac:dyDescent="0.25">
      <c r="M305" s="65" t="s">
        <v>639</v>
      </c>
      <c r="N305" s="65" t="s">
        <v>640</v>
      </c>
    </row>
    <row r="306" spans="13:14" x14ac:dyDescent="0.25">
      <c r="M306" s="65" t="s">
        <v>641</v>
      </c>
      <c r="N306" s="65" t="s">
        <v>642</v>
      </c>
    </row>
    <row r="307" spans="13:14" x14ac:dyDescent="0.25">
      <c r="M307" s="65" t="s">
        <v>643</v>
      </c>
      <c r="N307" s="65" t="s">
        <v>644</v>
      </c>
    </row>
    <row r="308" spans="13:14" x14ac:dyDescent="0.25">
      <c r="M308" s="65" t="s">
        <v>645</v>
      </c>
      <c r="N308" s="65" t="s">
        <v>646</v>
      </c>
    </row>
    <row r="309" spans="13:14" x14ac:dyDescent="0.25">
      <c r="M309" s="65" t="s">
        <v>647</v>
      </c>
      <c r="N309" s="65" t="s">
        <v>648</v>
      </c>
    </row>
    <row r="310" spans="13:14" x14ac:dyDescent="0.25">
      <c r="M310" s="65" t="s">
        <v>649</v>
      </c>
      <c r="N310" s="65" t="s">
        <v>650</v>
      </c>
    </row>
    <row r="311" spans="13:14" x14ac:dyDescent="0.25">
      <c r="M311" s="65" t="s">
        <v>651</v>
      </c>
      <c r="N311" s="65" t="s">
        <v>652</v>
      </c>
    </row>
    <row r="312" spans="13:14" x14ac:dyDescent="0.25">
      <c r="M312" s="65" t="s">
        <v>653</v>
      </c>
      <c r="N312" s="65" t="s">
        <v>654</v>
      </c>
    </row>
    <row r="313" spans="13:14" x14ac:dyDescent="0.25">
      <c r="M313" s="65" t="s">
        <v>655</v>
      </c>
      <c r="N313" s="65" t="s">
        <v>656</v>
      </c>
    </row>
    <row r="314" spans="13:14" x14ac:dyDescent="0.25">
      <c r="M314" s="65" t="s">
        <v>657</v>
      </c>
      <c r="N314" s="65" t="s">
        <v>658</v>
      </c>
    </row>
    <row r="315" spans="13:14" x14ac:dyDescent="0.25">
      <c r="M315" s="65" t="s">
        <v>659</v>
      </c>
      <c r="N315" s="65" t="s">
        <v>660</v>
      </c>
    </row>
    <row r="316" spans="13:14" x14ac:dyDescent="0.25">
      <c r="M316" s="65" t="s">
        <v>661</v>
      </c>
      <c r="N316" s="65" t="s">
        <v>662</v>
      </c>
    </row>
    <row r="317" spans="13:14" x14ac:dyDescent="0.25">
      <c r="M317" s="65" t="s">
        <v>663</v>
      </c>
      <c r="N317" s="65" t="s">
        <v>664</v>
      </c>
    </row>
    <row r="318" spans="13:14" x14ac:dyDescent="0.25">
      <c r="M318" s="65" t="s">
        <v>665</v>
      </c>
      <c r="N318" s="65" t="s">
        <v>666</v>
      </c>
    </row>
    <row r="319" spans="13:14" x14ac:dyDescent="0.25">
      <c r="M319" s="65" t="s">
        <v>667</v>
      </c>
      <c r="N319" s="65" t="s">
        <v>668</v>
      </c>
    </row>
    <row r="320" spans="13:14" x14ac:dyDescent="0.25">
      <c r="M320" s="65" t="s">
        <v>669</v>
      </c>
      <c r="N320" s="65" t="s">
        <v>670</v>
      </c>
    </row>
    <row r="321" spans="13:14" x14ac:dyDescent="0.25">
      <c r="M321" s="65" t="s">
        <v>671</v>
      </c>
      <c r="N321" s="65" t="s">
        <v>672</v>
      </c>
    </row>
    <row r="322" spans="13:14" x14ac:dyDescent="0.25">
      <c r="M322" s="65" t="s">
        <v>673</v>
      </c>
      <c r="N322" s="65" t="s">
        <v>674</v>
      </c>
    </row>
    <row r="323" spans="13:14" x14ac:dyDescent="0.25">
      <c r="M323" s="65" t="s">
        <v>675</v>
      </c>
      <c r="N323" s="65" t="s">
        <v>676</v>
      </c>
    </row>
    <row r="324" spans="13:14" x14ac:dyDescent="0.25">
      <c r="M324" s="65" t="s">
        <v>677</v>
      </c>
      <c r="N324" s="65" t="s">
        <v>678</v>
      </c>
    </row>
    <row r="325" spans="13:14" x14ac:dyDescent="0.25">
      <c r="M325" s="65" t="s">
        <v>679</v>
      </c>
      <c r="N325" s="65" t="s">
        <v>680</v>
      </c>
    </row>
    <row r="326" spans="13:14" x14ac:dyDescent="0.25">
      <c r="M326" s="65" t="s">
        <v>681</v>
      </c>
      <c r="N326" s="65" t="s">
        <v>682</v>
      </c>
    </row>
    <row r="327" spans="13:14" x14ac:dyDescent="0.25">
      <c r="M327" s="65" t="s">
        <v>683</v>
      </c>
      <c r="N327" s="65" t="s">
        <v>684</v>
      </c>
    </row>
    <row r="328" spans="13:14" x14ac:dyDescent="0.25">
      <c r="M328" s="65" t="s">
        <v>685</v>
      </c>
      <c r="N328" s="65" t="s">
        <v>686</v>
      </c>
    </row>
    <row r="329" spans="13:14" x14ac:dyDescent="0.25">
      <c r="M329" s="65" t="s">
        <v>687</v>
      </c>
      <c r="N329" s="65" t="s">
        <v>688</v>
      </c>
    </row>
    <row r="330" spans="13:14" x14ac:dyDescent="0.25">
      <c r="M330" s="65" t="s">
        <v>689</v>
      </c>
      <c r="N330" s="65" t="s">
        <v>690</v>
      </c>
    </row>
    <row r="331" spans="13:14" x14ac:dyDescent="0.25">
      <c r="M331" s="65" t="s">
        <v>691</v>
      </c>
      <c r="N331" s="65" t="s">
        <v>692</v>
      </c>
    </row>
    <row r="332" spans="13:14" x14ac:dyDescent="0.25">
      <c r="M332" s="65" t="s">
        <v>693</v>
      </c>
      <c r="N332" s="65" t="s">
        <v>694</v>
      </c>
    </row>
    <row r="333" spans="13:14" x14ac:dyDescent="0.25">
      <c r="M333" s="65" t="s">
        <v>695</v>
      </c>
      <c r="N333" s="65" t="s">
        <v>696</v>
      </c>
    </row>
    <row r="334" spans="13:14" x14ac:dyDescent="0.25">
      <c r="M334" s="65" t="s">
        <v>697</v>
      </c>
      <c r="N334" s="65" t="s">
        <v>698</v>
      </c>
    </row>
    <row r="335" spans="13:14" x14ac:dyDescent="0.25">
      <c r="M335" s="65" t="s">
        <v>699</v>
      </c>
      <c r="N335" s="65" t="s">
        <v>700</v>
      </c>
    </row>
    <row r="336" spans="13:14" x14ac:dyDescent="0.25">
      <c r="M336" s="65" t="s">
        <v>701</v>
      </c>
      <c r="N336" s="65" t="s">
        <v>702</v>
      </c>
    </row>
    <row r="337" spans="13:14" x14ac:dyDescent="0.25">
      <c r="M337" s="65" t="s">
        <v>703</v>
      </c>
      <c r="N337" s="65" t="s">
        <v>704</v>
      </c>
    </row>
    <row r="338" spans="13:14" x14ac:dyDescent="0.25">
      <c r="M338" s="65" t="s">
        <v>705</v>
      </c>
      <c r="N338" s="65" t="s">
        <v>706</v>
      </c>
    </row>
    <row r="339" spans="13:14" x14ac:dyDescent="0.25">
      <c r="M339" s="65" t="s">
        <v>707</v>
      </c>
      <c r="N339" s="65" t="s">
        <v>708</v>
      </c>
    </row>
    <row r="340" spans="13:14" x14ac:dyDescent="0.25">
      <c r="M340" s="65" t="s">
        <v>709</v>
      </c>
      <c r="N340" s="65" t="s">
        <v>710</v>
      </c>
    </row>
    <row r="341" spans="13:14" x14ac:dyDescent="0.25">
      <c r="M341" s="65" t="s">
        <v>711</v>
      </c>
      <c r="N341" s="65" t="s">
        <v>712</v>
      </c>
    </row>
    <row r="342" spans="13:14" x14ac:dyDescent="0.25">
      <c r="M342" s="65" t="s">
        <v>713</v>
      </c>
      <c r="N342" s="65" t="s">
        <v>714</v>
      </c>
    </row>
    <row r="343" spans="13:14" x14ac:dyDescent="0.25">
      <c r="M343" s="65" t="s">
        <v>715</v>
      </c>
      <c r="N343" s="65" t="s">
        <v>716</v>
      </c>
    </row>
    <row r="344" spans="13:14" x14ac:dyDescent="0.25">
      <c r="M344" s="65" t="s">
        <v>717</v>
      </c>
      <c r="N344" s="65" t="s">
        <v>718</v>
      </c>
    </row>
    <row r="345" spans="13:14" x14ac:dyDescent="0.25">
      <c r="M345" s="65" t="s">
        <v>719</v>
      </c>
      <c r="N345" s="65" t="s">
        <v>720</v>
      </c>
    </row>
    <row r="346" spans="13:14" x14ac:dyDescent="0.25">
      <c r="M346" s="65" t="s">
        <v>721</v>
      </c>
      <c r="N346" s="65" t="s">
        <v>722</v>
      </c>
    </row>
    <row r="347" spans="13:14" x14ac:dyDescent="0.25">
      <c r="M347" s="65" t="s">
        <v>723</v>
      </c>
      <c r="N347" s="65" t="s">
        <v>724</v>
      </c>
    </row>
    <row r="348" spans="13:14" x14ac:dyDescent="0.25">
      <c r="M348" s="65" t="s">
        <v>725</v>
      </c>
      <c r="N348" s="65" t="s">
        <v>726</v>
      </c>
    </row>
    <row r="349" spans="13:14" x14ac:dyDescent="0.25">
      <c r="M349" s="65" t="s">
        <v>727</v>
      </c>
      <c r="N349" s="65" t="s">
        <v>728</v>
      </c>
    </row>
    <row r="350" spans="13:14" x14ac:dyDescent="0.25">
      <c r="M350" s="65" t="s">
        <v>729</v>
      </c>
      <c r="N350" s="65" t="s">
        <v>730</v>
      </c>
    </row>
    <row r="351" spans="13:14" x14ac:dyDescent="0.25">
      <c r="M351" s="65" t="s">
        <v>731</v>
      </c>
      <c r="N351" s="65" t="s">
        <v>732</v>
      </c>
    </row>
    <row r="352" spans="13:14" x14ac:dyDescent="0.25">
      <c r="M352" s="65" t="s">
        <v>733</v>
      </c>
      <c r="N352" s="65" t="s">
        <v>734</v>
      </c>
    </row>
    <row r="353" spans="13:14" x14ac:dyDescent="0.25">
      <c r="M353" s="65" t="s">
        <v>735</v>
      </c>
      <c r="N353" s="65" t="s">
        <v>736</v>
      </c>
    </row>
    <row r="354" spans="13:14" x14ac:dyDescent="0.25">
      <c r="M354" s="65" t="s">
        <v>737</v>
      </c>
      <c r="N354" s="65" t="s">
        <v>738</v>
      </c>
    </row>
    <row r="355" spans="13:14" x14ac:dyDescent="0.25">
      <c r="M355" s="65" t="s">
        <v>739</v>
      </c>
      <c r="N355" s="65" t="s">
        <v>740</v>
      </c>
    </row>
    <row r="356" spans="13:14" x14ac:dyDescent="0.25">
      <c r="M356" s="65" t="s">
        <v>741</v>
      </c>
      <c r="N356" s="65" t="s">
        <v>742</v>
      </c>
    </row>
    <row r="357" spans="13:14" x14ac:dyDescent="0.25">
      <c r="M357" s="65" t="s">
        <v>743</v>
      </c>
      <c r="N357" s="65" t="s">
        <v>744</v>
      </c>
    </row>
    <row r="358" spans="13:14" x14ac:dyDescent="0.25">
      <c r="M358" s="65" t="s">
        <v>745</v>
      </c>
      <c r="N358" s="65" t="s">
        <v>746</v>
      </c>
    </row>
    <row r="359" spans="13:14" x14ac:dyDescent="0.25">
      <c r="M359" s="65" t="s">
        <v>747</v>
      </c>
      <c r="N359" s="65" t="s">
        <v>748</v>
      </c>
    </row>
    <row r="360" spans="13:14" x14ac:dyDescent="0.25">
      <c r="M360" s="65" t="s">
        <v>749</v>
      </c>
      <c r="N360" s="65" t="s">
        <v>750</v>
      </c>
    </row>
    <row r="361" spans="13:14" x14ac:dyDescent="0.25">
      <c r="M361" s="65" t="s">
        <v>751</v>
      </c>
      <c r="N361" s="65" t="s">
        <v>752</v>
      </c>
    </row>
    <row r="362" spans="13:14" x14ac:dyDescent="0.25">
      <c r="M362" s="65" t="s">
        <v>753</v>
      </c>
      <c r="N362" s="65" t="s">
        <v>754</v>
      </c>
    </row>
    <row r="363" spans="13:14" x14ac:dyDescent="0.25">
      <c r="M363" s="65" t="s">
        <v>755</v>
      </c>
      <c r="N363" s="65" t="s">
        <v>756</v>
      </c>
    </row>
    <row r="364" spans="13:14" x14ac:dyDescent="0.25">
      <c r="M364" s="65" t="s">
        <v>757</v>
      </c>
      <c r="N364" s="65" t="s">
        <v>758</v>
      </c>
    </row>
    <row r="365" spans="13:14" x14ac:dyDescent="0.25">
      <c r="M365" s="65" t="s">
        <v>759</v>
      </c>
      <c r="N365" s="65" t="s">
        <v>760</v>
      </c>
    </row>
    <row r="366" spans="13:14" x14ac:dyDescent="0.25">
      <c r="M366" s="65" t="s">
        <v>761</v>
      </c>
      <c r="N366" s="65" t="s">
        <v>762</v>
      </c>
    </row>
    <row r="367" spans="13:14" x14ac:dyDescent="0.25">
      <c r="M367" s="65" t="s">
        <v>763</v>
      </c>
      <c r="N367" s="65" t="s">
        <v>764</v>
      </c>
    </row>
    <row r="368" spans="13:14" x14ac:dyDescent="0.25">
      <c r="M368" s="65" t="s">
        <v>765</v>
      </c>
      <c r="N368" s="65" t="s">
        <v>766</v>
      </c>
    </row>
    <row r="369" spans="13:14" x14ac:dyDescent="0.25">
      <c r="M369" s="65" t="s">
        <v>767</v>
      </c>
      <c r="N369" s="65" t="s">
        <v>768</v>
      </c>
    </row>
    <row r="370" spans="13:14" x14ac:dyDescent="0.25">
      <c r="M370" s="65" t="s">
        <v>769</v>
      </c>
      <c r="N370" s="65" t="s">
        <v>770</v>
      </c>
    </row>
    <row r="371" spans="13:14" x14ac:dyDescent="0.25">
      <c r="M371" s="65" t="s">
        <v>771</v>
      </c>
      <c r="N371" s="65" t="s">
        <v>772</v>
      </c>
    </row>
    <row r="372" spans="13:14" x14ac:dyDescent="0.25">
      <c r="M372" s="65" t="s">
        <v>773</v>
      </c>
      <c r="N372" s="65" t="s">
        <v>774</v>
      </c>
    </row>
    <row r="373" spans="13:14" x14ac:dyDescent="0.25">
      <c r="M373" s="65" t="s">
        <v>775</v>
      </c>
      <c r="N373" s="65" t="s">
        <v>776</v>
      </c>
    </row>
    <row r="374" spans="13:14" x14ac:dyDescent="0.25">
      <c r="M374" s="65" t="s">
        <v>777</v>
      </c>
      <c r="N374" s="65" t="s">
        <v>778</v>
      </c>
    </row>
    <row r="375" spans="13:14" x14ac:dyDescent="0.25">
      <c r="M375" s="65" t="s">
        <v>779</v>
      </c>
      <c r="N375" s="65" t="s">
        <v>780</v>
      </c>
    </row>
    <row r="376" spans="13:14" x14ac:dyDescent="0.25">
      <c r="M376" s="65" t="s">
        <v>781</v>
      </c>
      <c r="N376" s="65" t="s">
        <v>782</v>
      </c>
    </row>
    <row r="377" spans="13:14" x14ac:dyDescent="0.25">
      <c r="M377" s="65" t="s">
        <v>783</v>
      </c>
      <c r="N377" s="65" t="s">
        <v>784</v>
      </c>
    </row>
    <row r="378" spans="13:14" x14ac:dyDescent="0.25">
      <c r="M378" s="65" t="s">
        <v>785</v>
      </c>
      <c r="N378" s="65" t="s">
        <v>786</v>
      </c>
    </row>
    <row r="379" spans="13:14" x14ac:dyDescent="0.25">
      <c r="M379" s="65" t="s">
        <v>787</v>
      </c>
      <c r="N379" s="65" t="s">
        <v>788</v>
      </c>
    </row>
    <row r="380" spans="13:14" x14ac:dyDescent="0.25">
      <c r="M380" s="65" t="s">
        <v>789</v>
      </c>
      <c r="N380" s="65" t="s">
        <v>790</v>
      </c>
    </row>
    <row r="381" spans="13:14" x14ac:dyDescent="0.25">
      <c r="M381" s="65" t="s">
        <v>791</v>
      </c>
      <c r="N381" s="65" t="s">
        <v>792</v>
      </c>
    </row>
    <row r="382" spans="13:14" x14ac:dyDescent="0.25">
      <c r="M382" s="65" t="s">
        <v>793</v>
      </c>
      <c r="N382" s="65" t="s">
        <v>794</v>
      </c>
    </row>
    <row r="383" spans="13:14" x14ac:dyDescent="0.25">
      <c r="M383" s="65" t="s">
        <v>795</v>
      </c>
      <c r="N383" s="65" t="s">
        <v>796</v>
      </c>
    </row>
    <row r="384" spans="13:14" x14ac:dyDescent="0.25">
      <c r="M384" s="65" t="s">
        <v>797</v>
      </c>
      <c r="N384" s="65" t="s">
        <v>798</v>
      </c>
    </row>
    <row r="385" spans="13:14" x14ac:dyDescent="0.25">
      <c r="M385" s="65" t="s">
        <v>799</v>
      </c>
      <c r="N385" s="65" t="s">
        <v>800</v>
      </c>
    </row>
    <row r="386" spans="13:14" x14ac:dyDescent="0.25">
      <c r="M386" s="65" t="s">
        <v>801</v>
      </c>
      <c r="N386" s="65" t="s">
        <v>802</v>
      </c>
    </row>
    <row r="387" spans="13:14" x14ac:dyDescent="0.25">
      <c r="M387" s="65" t="s">
        <v>803</v>
      </c>
      <c r="N387" s="65" t="s">
        <v>804</v>
      </c>
    </row>
    <row r="388" spans="13:14" x14ac:dyDescent="0.25">
      <c r="M388" s="65" t="s">
        <v>805</v>
      </c>
      <c r="N388" s="65" t="s">
        <v>806</v>
      </c>
    </row>
    <row r="389" spans="13:14" x14ac:dyDescent="0.25">
      <c r="M389" s="65" t="s">
        <v>807</v>
      </c>
      <c r="N389" s="65" t="s">
        <v>808</v>
      </c>
    </row>
    <row r="390" spans="13:14" x14ac:dyDescent="0.25">
      <c r="M390" s="65" t="s">
        <v>809</v>
      </c>
      <c r="N390" s="65" t="s">
        <v>810</v>
      </c>
    </row>
    <row r="391" spans="13:14" x14ac:dyDescent="0.25">
      <c r="M391" s="65" t="s">
        <v>811</v>
      </c>
      <c r="N391" s="65" t="s">
        <v>812</v>
      </c>
    </row>
    <row r="392" spans="13:14" x14ac:dyDescent="0.25">
      <c r="M392" s="65" t="s">
        <v>813</v>
      </c>
      <c r="N392" s="65" t="s">
        <v>814</v>
      </c>
    </row>
    <row r="393" spans="13:14" x14ac:dyDescent="0.25">
      <c r="M393" s="65" t="s">
        <v>815</v>
      </c>
      <c r="N393" s="65" t="s">
        <v>816</v>
      </c>
    </row>
    <row r="394" spans="13:14" x14ac:dyDescent="0.25">
      <c r="M394" s="65" t="s">
        <v>817</v>
      </c>
      <c r="N394" s="65" t="s">
        <v>818</v>
      </c>
    </row>
    <row r="395" spans="13:14" x14ac:dyDescent="0.25">
      <c r="M395" s="65" t="s">
        <v>819</v>
      </c>
      <c r="N395" s="65" t="s">
        <v>820</v>
      </c>
    </row>
    <row r="396" spans="13:14" x14ac:dyDescent="0.25">
      <c r="M396" s="65" t="s">
        <v>821</v>
      </c>
      <c r="N396" s="65" t="s">
        <v>822</v>
      </c>
    </row>
    <row r="397" spans="13:14" x14ac:dyDescent="0.25">
      <c r="M397" s="65" t="s">
        <v>823</v>
      </c>
      <c r="N397" s="65" t="s">
        <v>824</v>
      </c>
    </row>
    <row r="398" spans="13:14" x14ac:dyDescent="0.25">
      <c r="M398" s="65" t="s">
        <v>825</v>
      </c>
      <c r="N398" s="65" t="s">
        <v>826</v>
      </c>
    </row>
    <row r="399" spans="13:14" x14ac:dyDescent="0.25">
      <c r="M399" s="65" t="s">
        <v>827</v>
      </c>
      <c r="N399" s="65" t="s">
        <v>828</v>
      </c>
    </row>
    <row r="400" spans="13:14" x14ac:dyDescent="0.25">
      <c r="M400" s="65" t="s">
        <v>829</v>
      </c>
      <c r="N400" s="65" t="s">
        <v>830</v>
      </c>
    </row>
    <row r="401" spans="13:14" x14ac:dyDescent="0.25">
      <c r="M401" s="65" t="s">
        <v>831</v>
      </c>
      <c r="N401" s="65" t="s">
        <v>832</v>
      </c>
    </row>
    <row r="402" spans="13:14" x14ac:dyDescent="0.25">
      <c r="M402" s="65" t="s">
        <v>833</v>
      </c>
      <c r="N402" s="65" t="s">
        <v>834</v>
      </c>
    </row>
    <row r="403" spans="13:14" x14ac:dyDescent="0.25">
      <c r="M403" s="65" t="s">
        <v>835</v>
      </c>
      <c r="N403" s="65" t="s">
        <v>836</v>
      </c>
    </row>
    <row r="404" spans="13:14" x14ac:dyDescent="0.25">
      <c r="M404" s="65" t="s">
        <v>837</v>
      </c>
      <c r="N404" s="65" t="s">
        <v>838</v>
      </c>
    </row>
    <row r="405" spans="13:14" x14ac:dyDescent="0.25">
      <c r="M405" s="65" t="s">
        <v>839</v>
      </c>
      <c r="N405" s="65" t="s">
        <v>840</v>
      </c>
    </row>
    <row r="406" spans="13:14" x14ac:dyDescent="0.25">
      <c r="M406" s="65" t="s">
        <v>841</v>
      </c>
      <c r="N406" s="65" t="s">
        <v>842</v>
      </c>
    </row>
    <row r="407" spans="13:14" x14ac:dyDescent="0.25">
      <c r="M407" s="65" t="s">
        <v>843</v>
      </c>
      <c r="N407" s="65" t="s">
        <v>844</v>
      </c>
    </row>
    <row r="408" spans="13:14" x14ac:dyDescent="0.25">
      <c r="M408" s="65" t="s">
        <v>845</v>
      </c>
      <c r="N408" s="65" t="s">
        <v>846</v>
      </c>
    </row>
    <row r="409" spans="13:14" x14ac:dyDescent="0.25">
      <c r="M409" s="65" t="s">
        <v>847</v>
      </c>
      <c r="N409" s="65" t="s">
        <v>848</v>
      </c>
    </row>
    <row r="410" spans="13:14" x14ac:dyDescent="0.25">
      <c r="M410" s="65" t="s">
        <v>849</v>
      </c>
      <c r="N410" s="65" t="s">
        <v>850</v>
      </c>
    </row>
    <row r="411" spans="13:14" x14ac:dyDescent="0.25">
      <c r="M411" s="65" t="s">
        <v>851</v>
      </c>
      <c r="N411" s="65" t="s">
        <v>852</v>
      </c>
    </row>
    <row r="412" spans="13:14" x14ac:dyDescent="0.25">
      <c r="M412" s="65" t="s">
        <v>853</v>
      </c>
      <c r="N412" s="65" t="s">
        <v>854</v>
      </c>
    </row>
    <row r="413" spans="13:14" x14ac:dyDescent="0.25">
      <c r="M413" s="65" t="s">
        <v>855</v>
      </c>
      <c r="N413" s="65" t="s">
        <v>856</v>
      </c>
    </row>
    <row r="414" spans="13:14" x14ac:dyDescent="0.25">
      <c r="M414" s="65" t="s">
        <v>857</v>
      </c>
      <c r="N414" s="65" t="s">
        <v>858</v>
      </c>
    </row>
    <row r="415" spans="13:14" x14ac:dyDescent="0.25">
      <c r="M415" s="65" t="s">
        <v>859</v>
      </c>
      <c r="N415" s="65" t="s">
        <v>860</v>
      </c>
    </row>
    <row r="416" spans="13:14" x14ac:dyDescent="0.25">
      <c r="M416" s="65" t="s">
        <v>861</v>
      </c>
      <c r="N416" s="65" t="s">
        <v>862</v>
      </c>
    </row>
    <row r="417" spans="13:14" x14ac:dyDescent="0.25">
      <c r="M417" s="65" t="s">
        <v>863</v>
      </c>
      <c r="N417" s="65" t="s">
        <v>864</v>
      </c>
    </row>
    <row r="418" spans="13:14" x14ac:dyDescent="0.25">
      <c r="M418" s="65" t="s">
        <v>865</v>
      </c>
      <c r="N418" s="65" t="s">
        <v>866</v>
      </c>
    </row>
    <row r="419" spans="13:14" x14ac:dyDescent="0.25">
      <c r="M419" s="65" t="s">
        <v>867</v>
      </c>
      <c r="N419" s="65" t="s">
        <v>868</v>
      </c>
    </row>
    <row r="420" spans="13:14" x14ac:dyDescent="0.25">
      <c r="M420" s="65" t="s">
        <v>869</v>
      </c>
      <c r="N420" s="65" t="s">
        <v>870</v>
      </c>
    </row>
    <row r="421" spans="13:14" x14ac:dyDescent="0.25">
      <c r="M421" s="65" t="s">
        <v>871</v>
      </c>
      <c r="N421" s="65" t="s">
        <v>872</v>
      </c>
    </row>
    <row r="422" spans="13:14" x14ac:dyDescent="0.25">
      <c r="M422" s="65" t="s">
        <v>873</v>
      </c>
      <c r="N422" s="65" t="s">
        <v>874</v>
      </c>
    </row>
    <row r="423" spans="13:14" x14ac:dyDescent="0.25">
      <c r="M423" s="65" t="s">
        <v>875</v>
      </c>
      <c r="N423" s="65" t="s">
        <v>876</v>
      </c>
    </row>
    <row r="424" spans="13:14" x14ac:dyDescent="0.25">
      <c r="M424" s="65" t="s">
        <v>877</v>
      </c>
      <c r="N424" s="65" t="s">
        <v>878</v>
      </c>
    </row>
    <row r="425" spans="13:14" x14ac:dyDescent="0.25">
      <c r="M425" s="65" t="s">
        <v>879</v>
      </c>
      <c r="N425" s="65" t="s">
        <v>880</v>
      </c>
    </row>
    <row r="426" spans="13:14" x14ac:dyDescent="0.25">
      <c r="M426" s="65" t="s">
        <v>881</v>
      </c>
      <c r="N426" s="65" t="s">
        <v>882</v>
      </c>
    </row>
    <row r="427" spans="13:14" x14ac:dyDescent="0.25">
      <c r="M427" s="65" t="s">
        <v>883</v>
      </c>
      <c r="N427" s="65" t="s">
        <v>884</v>
      </c>
    </row>
    <row r="428" spans="13:14" x14ac:dyDescent="0.25">
      <c r="M428" s="65" t="s">
        <v>885</v>
      </c>
      <c r="N428" s="65" t="s">
        <v>886</v>
      </c>
    </row>
    <row r="429" spans="13:14" x14ac:dyDescent="0.25">
      <c r="M429" s="65" t="s">
        <v>887</v>
      </c>
      <c r="N429" s="65" t="s">
        <v>888</v>
      </c>
    </row>
    <row r="430" spans="13:14" x14ac:dyDescent="0.25">
      <c r="M430" s="65" t="s">
        <v>889</v>
      </c>
      <c r="N430" s="65" t="s">
        <v>890</v>
      </c>
    </row>
    <row r="431" spans="13:14" x14ac:dyDescent="0.25">
      <c r="M431" s="65" t="s">
        <v>891</v>
      </c>
      <c r="N431" s="65" t="s">
        <v>892</v>
      </c>
    </row>
    <row r="432" spans="13:14" x14ac:dyDescent="0.25">
      <c r="M432" s="65" t="s">
        <v>893</v>
      </c>
      <c r="N432" s="65" t="s">
        <v>894</v>
      </c>
    </row>
    <row r="433" spans="13:14" x14ac:dyDescent="0.25">
      <c r="M433" s="65" t="s">
        <v>895</v>
      </c>
      <c r="N433" s="65" t="s">
        <v>896</v>
      </c>
    </row>
    <row r="434" spans="13:14" x14ac:dyDescent="0.25">
      <c r="M434" s="65" t="s">
        <v>897</v>
      </c>
      <c r="N434" s="65" t="s">
        <v>898</v>
      </c>
    </row>
    <row r="435" spans="13:14" x14ac:dyDescent="0.25">
      <c r="M435" s="65" t="s">
        <v>899</v>
      </c>
      <c r="N435" s="65" t="s">
        <v>900</v>
      </c>
    </row>
    <row r="436" spans="13:14" x14ac:dyDescent="0.25">
      <c r="M436" s="65" t="s">
        <v>901</v>
      </c>
      <c r="N436" s="65" t="s">
        <v>902</v>
      </c>
    </row>
    <row r="437" spans="13:14" x14ac:dyDescent="0.25">
      <c r="M437" s="65" t="s">
        <v>903</v>
      </c>
      <c r="N437" s="65" t="s">
        <v>904</v>
      </c>
    </row>
    <row r="438" spans="13:14" x14ac:dyDescent="0.25">
      <c r="M438" s="65" t="s">
        <v>905</v>
      </c>
      <c r="N438" s="65" t="s">
        <v>906</v>
      </c>
    </row>
    <row r="439" spans="13:14" x14ac:dyDescent="0.25">
      <c r="M439" s="65" t="s">
        <v>907</v>
      </c>
      <c r="N439" s="65" t="s">
        <v>908</v>
      </c>
    </row>
    <row r="440" spans="13:14" x14ac:dyDescent="0.25">
      <c r="M440" s="65" t="s">
        <v>909</v>
      </c>
      <c r="N440" s="65" t="s">
        <v>910</v>
      </c>
    </row>
    <row r="441" spans="13:14" x14ac:dyDescent="0.25">
      <c r="M441" s="65" t="s">
        <v>911</v>
      </c>
      <c r="N441" s="65" t="s">
        <v>912</v>
      </c>
    </row>
    <row r="442" spans="13:14" x14ac:dyDescent="0.25">
      <c r="M442" s="65" t="s">
        <v>913</v>
      </c>
      <c r="N442" s="65" t="s">
        <v>914</v>
      </c>
    </row>
    <row r="443" spans="13:14" x14ac:dyDescent="0.25">
      <c r="M443" s="65" t="s">
        <v>915</v>
      </c>
      <c r="N443" s="65" t="s">
        <v>916</v>
      </c>
    </row>
    <row r="444" spans="13:14" x14ac:dyDescent="0.25">
      <c r="M444" s="65" t="s">
        <v>917</v>
      </c>
      <c r="N444" s="65" t="s">
        <v>918</v>
      </c>
    </row>
    <row r="445" spans="13:14" x14ac:dyDescent="0.25">
      <c r="M445" s="65" t="s">
        <v>919</v>
      </c>
      <c r="N445" s="65" t="s">
        <v>920</v>
      </c>
    </row>
    <row r="446" spans="13:14" x14ac:dyDescent="0.25">
      <c r="M446" s="65" t="s">
        <v>921</v>
      </c>
      <c r="N446" s="65" t="s">
        <v>922</v>
      </c>
    </row>
    <row r="447" spans="13:14" x14ac:dyDescent="0.25">
      <c r="M447" s="65" t="s">
        <v>923</v>
      </c>
      <c r="N447" s="65" t="s">
        <v>924</v>
      </c>
    </row>
    <row r="448" spans="13:14" x14ac:dyDescent="0.25">
      <c r="M448" s="65" t="s">
        <v>925</v>
      </c>
      <c r="N448" s="65" t="s">
        <v>926</v>
      </c>
    </row>
    <row r="449" spans="13:14" x14ac:dyDescent="0.25">
      <c r="M449" s="65" t="s">
        <v>927</v>
      </c>
      <c r="N449" s="65" t="s">
        <v>928</v>
      </c>
    </row>
    <row r="450" spans="13:14" x14ac:dyDescent="0.25">
      <c r="M450" s="65" t="s">
        <v>929</v>
      </c>
      <c r="N450" s="65" t="s">
        <v>930</v>
      </c>
    </row>
    <row r="451" spans="13:14" x14ac:dyDescent="0.25">
      <c r="M451" s="65" t="s">
        <v>931</v>
      </c>
      <c r="N451" s="65" t="s">
        <v>932</v>
      </c>
    </row>
    <row r="452" spans="13:14" x14ac:dyDescent="0.25">
      <c r="M452" s="65" t="s">
        <v>933</v>
      </c>
      <c r="N452" s="65" t="s">
        <v>934</v>
      </c>
    </row>
    <row r="453" spans="13:14" x14ac:dyDescent="0.25">
      <c r="M453" s="65" t="s">
        <v>935</v>
      </c>
      <c r="N453" s="65" t="s">
        <v>936</v>
      </c>
    </row>
    <row r="454" spans="13:14" x14ac:dyDescent="0.25">
      <c r="M454" s="65" t="s">
        <v>937</v>
      </c>
      <c r="N454" s="65" t="s">
        <v>938</v>
      </c>
    </row>
    <row r="455" spans="13:14" x14ac:dyDescent="0.25">
      <c r="M455" s="65" t="s">
        <v>939</v>
      </c>
      <c r="N455" s="65" t="s">
        <v>940</v>
      </c>
    </row>
    <row r="456" spans="13:14" x14ac:dyDescent="0.25">
      <c r="M456" s="65" t="s">
        <v>941</v>
      </c>
      <c r="N456" s="65" t="s">
        <v>942</v>
      </c>
    </row>
    <row r="457" spans="13:14" x14ac:dyDescent="0.25">
      <c r="M457" s="65" t="s">
        <v>943</v>
      </c>
      <c r="N457" s="65" t="s">
        <v>944</v>
      </c>
    </row>
    <row r="458" spans="13:14" x14ac:dyDescent="0.25">
      <c r="M458" s="65" t="s">
        <v>945</v>
      </c>
      <c r="N458" s="65" t="s">
        <v>946</v>
      </c>
    </row>
    <row r="459" spans="13:14" x14ac:dyDescent="0.25">
      <c r="M459" s="65" t="s">
        <v>947</v>
      </c>
      <c r="N459" s="65" t="s">
        <v>948</v>
      </c>
    </row>
    <row r="460" spans="13:14" x14ac:dyDescent="0.25">
      <c r="M460" s="65" t="s">
        <v>949</v>
      </c>
      <c r="N460" s="65" t="s">
        <v>950</v>
      </c>
    </row>
    <row r="461" spans="13:14" x14ac:dyDescent="0.25">
      <c r="M461" s="65" t="s">
        <v>951</v>
      </c>
      <c r="N461" s="65" t="s">
        <v>952</v>
      </c>
    </row>
    <row r="462" spans="13:14" x14ac:dyDescent="0.25">
      <c r="M462" s="65" t="s">
        <v>953</v>
      </c>
      <c r="N462" s="65" t="s">
        <v>954</v>
      </c>
    </row>
    <row r="463" spans="13:14" x14ac:dyDescent="0.25">
      <c r="M463" s="65" t="s">
        <v>955</v>
      </c>
      <c r="N463" s="65" t="s">
        <v>956</v>
      </c>
    </row>
    <row r="464" spans="13:14" x14ac:dyDescent="0.25">
      <c r="M464" s="65" t="s">
        <v>957</v>
      </c>
      <c r="N464" s="65" t="s">
        <v>958</v>
      </c>
    </row>
    <row r="465" spans="13:14" x14ac:dyDescent="0.25">
      <c r="M465" s="65" t="s">
        <v>959</v>
      </c>
      <c r="N465" s="65" t="s">
        <v>960</v>
      </c>
    </row>
    <row r="466" spans="13:14" x14ac:dyDescent="0.25">
      <c r="M466" s="65" t="s">
        <v>961</v>
      </c>
      <c r="N466" s="65" t="s">
        <v>962</v>
      </c>
    </row>
    <row r="467" spans="13:14" x14ac:dyDescent="0.25">
      <c r="M467" s="65" t="s">
        <v>963</v>
      </c>
      <c r="N467" s="65" t="s">
        <v>964</v>
      </c>
    </row>
    <row r="468" spans="13:14" x14ac:dyDescent="0.25">
      <c r="M468" s="65" t="s">
        <v>965</v>
      </c>
      <c r="N468" s="65" t="s">
        <v>966</v>
      </c>
    </row>
    <row r="469" spans="13:14" x14ac:dyDescent="0.25">
      <c r="M469" s="65" t="s">
        <v>967</v>
      </c>
      <c r="N469" s="65" t="s">
        <v>968</v>
      </c>
    </row>
    <row r="470" spans="13:14" x14ac:dyDescent="0.25">
      <c r="M470" s="65" t="s">
        <v>969</v>
      </c>
      <c r="N470" s="65" t="s">
        <v>970</v>
      </c>
    </row>
    <row r="471" spans="13:14" x14ac:dyDescent="0.25">
      <c r="M471" s="65" t="s">
        <v>971</v>
      </c>
      <c r="N471" s="65" t="s">
        <v>972</v>
      </c>
    </row>
    <row r="472" spans="13:14" x14ac:dyDescent="0.25">
      <c r="M472" s="65" t="s">
        <v>973</v>
      </c>
      <c r="N472" s="65" t="s">
        <v>974</v>
      </c>
    </row>
    <row r="473" spans="13:14" x14ac:dyDescent="0.25">
      <c r="M473" s="65" t="s">
        <v>975</v>
      </c>
      <c r="N473" s="65" t="s">
        <v>976</v>
      </c>
    </row>
    <row r="474" spans="13:14" x14ac:dyDescent="0.25">
      <c r="M474" s="65" t="s">
        <v>977</v>
      </c>
      <c r="N474" s="65" t="s">
        <v>978</v>
      </c>
    </row>
    <row r="475" spans="13:14" x14ac:dyDescent="0.25">
      <c r="M475" s="65" t="s">
        <v>979</v>
      </c>
      <c r="N475" s="65" t="s">
        <v>980</v>
      </c>
    </row>
    <row r="476" spans="13:14" x14ac:dyDescent="0.25">
      <c r="M476" s="65" t="s">
        <v>981</v>
      </c>
      <c r="N476" s="65" t="s">
        <v>982</v>
      </c>
    </row>
    <row r="477" spans="13:14" x14ac:dyDescent="0.25">
      <c r="M477" s="65" t="s">
        <v>983</v>
      </c>
      <c r="N477" s="65" t="s">
        <v>984</v>
      </c>
    </row>
    <row r="478" spans="13:14" x14ac:dyDescent="0.25">
      <c r="M478" s="65" t="s">
        <v>985</v>
      </c>
      <c r="N478" s="65" t="s">
        <v>986</v>
      </c>
    </row>
    <row r="479" spans="13:14" x14ac:dyDescent="0.25">
      <c r="M479" s="65" t="s">
        <v>987</v>
      </c>
      <c r="N479" s="65" t="s">
        <v>988</v>
      </c>
    </row>
    <row r="480" spans="13:14" x14ac:dyDescent="0.25">
      <c r="M480" s="65" t="s">
        <v>989</v>
      </c>
      <c r="N480" s="65" t="s">
        <v>990</v>
      </c>
    </row>
    <row r="481" spans="13:14" x14ac:dyDescent="0.25">
      <c r="M481" s="65" t="s">
        <v>991</v>
      </c>
      <c r="N481" s="65" t="s">
        <v>992</v>
      </c>
    </row>
    <row r="482" spans="13:14" x14ac:dyDescent="0.25">
      <c r="M482" s="65" t="s">
        <v>993</v>
      </c>
      <c r="N482" s="65" t="s">
        <v>994</v>
      </c>
    </row>
    <row r="483" spans="13:14" x14ac:dyDescent="0.25">
      <c r="M483" s="65" t="s">
        <v>995</v>
      </c>
      <c r="N483" s="65" t="s">
        <v>996</v>
      </c>
    </row>
    <row r="484" spans="13:14" x14ac:dyDescent="0.25">
      <c r="M484" s="65" t="s">
        <v>997</v>
      </c>
      <c r="N484" s="65" t="s">
        <v>998</v>
      </c>
    </row>
    <row r="485" spans="13:14" x14ac:dyDescent="0.25">
      <c r="M485" s="65" t="s">
        <v>999</v>
      </c>
      <c r="N485" s="65" t="s">
        <v>1000</v>
      </c>
    </row>
    <row r="486" spans="13:14" x14ac:dyDescent="0.25">
      <c r="M486" s="65" t="s">
        <v>1001</v>
      </c>
      <c r="N486" s="65" t="s">
        <v>1002</v>
      </c>
    </row>
    <row r="487" spans="13:14" x14ac:dyDescent="0.25">
      <c r="M487" s="65" t="s">
        <v>1003</v>
      </c>
      <c r="N487" s="65" t="s">
        <v>1004</v>
      </c>
    </row>
    <row r="488" spans="13:14" x14ac:dyDescent="0.25">
      <c r="M488" s="65" t="s">
        <v>1005</v>
      </c>
      <c r="N488" s="65" t="s">
        <v>1006</v>
      </c>
    </row>
    <row r="489" spans="13:14" x14ac:dyDescent="0.25">
      <c r="M489" s="65" t="s">
        <v>1007</v>
      </c>
      <c r="N489" s="65" t="s">
        <v>1008</v>
      </c>
    </row>
    <row r="490" spans="13:14" x14ac:dyDescent="0.25">
      <c r="M490" s="65" t="s">
        <v>1009</v>
      </c>
      <c r="N490" s="65" t="s">
        <v>1010</v>
      </c>
    </row>
    <row r="491" spans="13:14" x14ac:dyDescent="0.25">
      <c r="M491" s="65" t="s">
        <v>1011</v>
      </c>
      <c r="N491" s="65" t="s">
        <v>1012</v>
      </c>
    </row>
    <row r="492" spans="13:14" x14ac:dyDescent="0.25">
      <c r="M492" s="65" t="s">
        <v>1013</v>
      </c>
      <c r="N492" s="65" t="s">
        <v>1014</v>
      </c>
    </row>
    <row r="493" spans="13:14" x14ac:dyDescent="0.25">
      <c r="M493" s="65" t="s">
        <v>1015</v>
      </c>
      <c r="N493" s="65" t="s">
        <v>1016</v>
      </c>
    </row>
    <row r="494" spans="13:14" x14ac:dyDescent="0.25">
      <c r="M494" s="65" t="s">
        <v>1017</v>
      </c>
      <c r="N494" s="65" t="s">
        <v>1018</v>
      </c>
    </row>
    <row r="495" spans="13:14" x14ac:dyDescent="0.25">
      <c r="M495" s="65" t="s">
        <v>1019</v>
      </c>
      <c r="N495" s="65" t="s">
        <v>1020</v>
      </c>
    </row>
    <row r="496" spans="13:14" x14ac:dyDescent="0.25">
      <c r="M496" s="65" t="s">
        <v>1021</v>
      </c>
      <c r="N496" s="65" t="s">
        <v>1022</v>
      </c>
    </row>
    <row r="497" spans="13:14" x14ac:dyDescent="0.25">
      <c r="M497" s="65" t="s">
        <v>1023</v>
      </c>
      <c r="N497" s="65" t="s">
        <v>1024</v>
      </c>
    </row>
    <row r="498" spans="13:14" x14ac:dyDescent="0.25">
      <c r="M498" s="65" t="s">
        <v>1025</v>
      </c>
      <c r="N498" s="65" t="s">
        <v>1026</v>
      </c>
    </row>
    <row r="499" spans="13:14" x14ac:dyDescent="0.25">
      <c r="M499" s="65" t="s">
        <v>1027</v>
      </c>
      <c r="N499" s="65" t="s">
        <v>1028</v>
      </c>
    </row>
    <row r="500" spans="13:14" x14ac:dyDescent="0.25">
      <c r="M500" s="65" t="s">
        <v>1029</v>
      </c>
      <c r="N500" s="65" t="s">
        <v>1030</v>
      </c>
    </row>
    <row r="501" spans="13:14" x14ac:dyDescent="0.25">
      <c r="M501" s="65" t="s">
        <v>1031</v>
      </c>
      <c r="N501" s="65" t="s">
        <v>1032</v>
      </c>
    </row>
    <row r="502" spans="13:14" x14ac:dyDescent="0.25">
      <c r="M502" s="65" t="s">
        <v>1033</v>
      </c>
      <c r="N502" s="65" t="s">
        <v>1034</v>
      </c>
    </row>
    <row r="503" spans="13:14" x14ac:dyDescent="0.25">
      <c r="M503" s="65" t="s">
        <v>1035</v>
      </c>
      <c r="N503" s="65" t="s">
        <v>1036</v>
      </c>
    </row>
    <row r="504" spans="13:14" x14ac:dyDescent="0.25">
      <c r="M504" s="65" t="s">
        <v>1037</v>
      </c>
      <c r="N504" s="65" t="s">
        <v>1038</v>
      </c>
    </row>
    <row r="505" spans="13:14" x14ac:dyDescent="0.25">
      <c r="M505" s="65" t="s">
        <v>1039</v>
      </c>
      <c r="N505" s="65" t="s">
        <v>1040</v>
      </c>
    </row>
    <row r="506" spans="13:14" x14ac:dyDescent="0.25">
      <c r="M506" s="65" t="s">
        <v>1041</v>
      </c>
      <c r="N506" s="65" t="s">
        <v>1042</v>
      </c>
    </row>
    <row r="507" spans="13:14" x14ac:dyDescent="0.25">
      <c r="M507" s="65" t="s">
        <v>1043</v>
      </c>
      <c r="N507" s="65" t="s">
        <v>1044</v>
      </c>
    </row>
    <row r="508" spans="13:14" x14ac:dyDescent="0.25">
      <c r="M508" s="65" t="s">
        <v>1045</v>
      </c>
      <c r="N508" s="65" t="s">
        <v>1046</v>
      </c>
    </row>
    <row r="509" spans="13:14" x14ac:dyDescent="0.25">
      <c r="M509" s="65" t="s">
        <v>1047</v>
      </c>
      <c r="N509" s="65" t="s">
        <v>1048</v>
      </c>
    </row>
    <row r="510" spans="13:14" x14ac:dyDescent="0.25">
      <c r="M510" s="65" t="s">
        <v>1049</v>
      </c>
      <c r="N510" s="65" t="s">
        <v>1050</v>
      </c>
    </row>
    <row r="511" spans="13:14" x14ac:dyDescent="0.25">
      <c r="M511" s="65" t="s">
        <v>1051</v>
      </c>
      <c r="N511" s="65" t="s">
        <v>1052</v>
      </c>
    </row>
    <row r="512" spans="13:14" x14ac:dyDescent="0.25">
      <c r="M512" s="65" t="s">
        <v>1053</v>
      </c>
      <c r="N512" s="65" t="s">
        <v>1054</v>
      </c>
    </row>
    <row r="513" spans="13:14" x14ac:dyDescent="0.25">
      <c r="M513" s="65" t="s">
        <v>1055</v>
      </c>
      <c r="N513" s="65" t="s">
        <v>1056</v>
      </c>
    </row>
    <row r="514" spans="13:14" x14ac:dyDescent="0.25">
      <c r="M514" s="65" t="s">
        <v>1057</v>
      </c>
      <c r="N514" s="65" t="s">
        <v>1058</v>
      </c>
    </row>
    <row r="515" spans="13:14" x14ac:dyDescent="0.25">
      <c r="M515" s="65" t="s">
        <v>1059</v>
      </c>
      <c r="N515" s="65" t="s">
        <v>1060</v>
      </c>
    </row>
    <row r="516" spans="13:14" x14ac:dyDescent="0.25">
      <c r="M516" s="65" t="s">
        <v>1061</v>
      </c>
      <c r="N516" s="65" t="s">
        <v>1062</v>
      </c>
    </row>
    <row r="517" spans="13:14" x14ac:dyDescent="0.25">
      <c r="M517" s="65" t="s">
        <v>1063</v>
      </c>
      <c r="N517" s="65" t="s">
        <v>1064</v>
      </c>
    </row>
    <row r="518" spans="13:14" x14ac:dyDescent="0.25">
      <c r="M518" s="65" t="s">
        <v>1065</v>
      </c>
      <c r="N518" s="65" t="s">
        <v>1066</v>
      </c>
    </row>
    <row r="519" spans="13:14" x14ac:dyDescent="0.25">
      <c r="M519" s="65" t="s">
        <v>1067</v>
      </c>
      <c r="N519" s="65" t="s">
        <v>1068</v>
      </c>
    </row>
    <row r="520" spans="13:14" x14ac:dyDescent="0.25">
      <c r="M520" s="65" t="s">
        <v>1069</v>
      </c>
      <c r="N520" s="65" t="s">
        <v>1070</v>
      </c>
    </row>
    <row r="521" spans="13:14" x14ac:dyDescent="0.25">
      <c r="M521" s="65" t="s">
        <v>1071</v>
      </c>
      <c r="N521" s="65" t="s">
        <v>1072</v>
      </c>
    </row>
    <row r="522" spans="13:14" x14ac:dyDescent="0.25">
      <c r="M522" s="65" t="s">
        <v>1073</v>
      </c>
      <c r="N522" s="65" t="s">
        <v>1074</v>
      </c>
    </row>
    <row r="523" spans="13:14" x14ac:dyDescent="0.25">
      <c r="M523" s="65" t="s">
        <v>1075</v>
      </c>
      <c r="N523" s="65" t="s">
        <v>1076</v>
      </c>
    </row>
    <row r="524" spans="13:14" x14ac:dyDescent="0.25">
      <c r="M524" s="65" t="s">
        <v>1077</v>
      </c>
      <c r="N524" s="65" t="s">
        <v>1078</v>
      </c>
    </row>
    <row r="525" spans="13:14" x14ac:dyDescent="0.25">
      <c r="M525" s="65" t="s">
        <v>1079</v>
      </c>
      <c r="N525" s="65" t="s">
        <v>1080</v>
      </c>
    </row>
    <row r="526" spans="13:14" x14ac:dyDescent="0.25">
      <c r="M526" s="65" t="s">
        <v>1081</v>
      </c>
      <c r="N526" s="65" t="s">
        <v>1082</v>
      </c>
    </row>
    <row r="527" spans="13:14" x14ac:dyDescent="0.25">
      <c r="M527" s="65" t="s">
        <v>1083</v>
      </c>
      <c r="N527" s="65" t="s">
        <v>1084</v>
      </c>
    </row>
    <row r="528" spans="13:14" x14ac:dyDescent="0.25">
      <c r="M528" s="65" t="s">
        <v>1085</v>
      </c>
      <c r="N528" s="65" t="s">
        <v>1086</v>
      </c>
    </row>
    <row r="529" spans="13:14" x14ac:dyDescent="0.25">
      <c r="M529" s="65" t="s">
        <v>1087</v>
      </c>
      <c r="N529" s="65" t="s">
        <v>1088</v>
      </c>
    </row>
    <row r="530" spans="13:14" x14ac:dyDescent="0.25">
      <c r="M530" s="65" t="s">
        <v>1089</v>
      </c>
      <c r="N530" s="65" t="s">
        <v>1090</v>
      </c>
    </row>
    <row r="531" spans="13:14" x14ac:dyDescent="0.25">
      <c r="M531" s="65" t="s">
        <v>1091</v>
      </c>
      <c r="N531" s="65" t="s">
        <v>1092</v>
      </c>
    </row>
    <row r="532" spans="13:14" x14ac:dyDescent="0.25">
      <c r="M532" s="65" t="s">
        <v>1093</v>
      </c>
      <c r="N532" s="65" t="s">
        <v>1094</v>
      </c>
    </row>
    <row r="533" spans="13:14" x14ac:dyDescent="0.25">
      <c r="M533" s="65" t="s">
        <v>1095</v>
      </c>
      <c r="N533" s="65" t="s">
        <v>1096</v>
      </c>
    </row>
    <row r="534" spans="13:14" x14ac:dyDescent="0.25">
      <c r="M534" s="65" t="s">
        <v>1097</v>
      </c>
      <c r="N534" s="65" t="s">
        <v>1098</v>
      </c>
    </row>
    <row r="535" spans="13:14" x14ac:dyDescent="0.25">
      <c r="M535" s="65" t="s">
        <v>1099</v>
      </c>
      <c r="N535" s="65" t="s">
        <v>1100</v>
      </c>
    </row>
    <row r="536" spans="13:14" x14ac:dyDescent="0.25">
      <c r="M536" s="65" t="s">
        <v>1101</v>
      </c>
      <c r="N536" s="65" t="s">
        <v>1102</v>
      </c>
    </row>
    <row r="537" spans="13:14" x14ac:dyDescent="0.25">
      <c r="M537" s="65" t="s">
        <v>1103</v>
      </c>
      <c r="N537" s="65" t="s">
        <v>1104</v>
      </c>
    </row>
    <row r="538" spans="13:14" x14ac:dyDescent="0.25">
      <c r="M538" s="65" t="s">
        <v>1105</v>
      </c>
      <c r="N538" s="65" t="s">
        <v>1106</v>
      </c>
    </row>
    <row r="539" spans="13:14" x14ac:dyDescent="0.25">
      <c r="M539" s="65" t="s">
        <v>1107</v>
      </c>
      <c r="N539" s="65" t="s">
        <v>1108</v>
      </c>
    </row>
    <row r="540" spans="13:14" x14ac:dyDescent="0.25">
      <c r="M540" s="65" t="s">
        <v>1109</v>
      </c>
      <c r="N540" s="65" t="s">
        <v>1110</v>
      </c>
    </row>
    <row r="541" spans="13:14" x14ac:dyDescent="0.25">
      <c r="M541" s="65" t="s">
        <v>1111</v>
      </c>
      <c r="N541" s="65" t="s">
        <v>1112</v>
      </c>
    </row>
    <row r="542" spans="13:14" x14ac:dyDescent="0.25">
      <c r="M542" s="65" t="s">
        <v>1113</v>
      </c>
      <c r="N542" s="65" t="s">
        <v>1114</v>
      </c>
    </row>
    <row r="543" spans="13:14" x14ac:dyDescent="0.25">
      <c r="M543" s="65" t="s">
        <v>1115</v>
      </c>
      <c r="N543" s="65" t="s">
        <v>1116</v>
      </c>
    </row>
    <row r="544" spans="13:14" x14ac:dyDescent="0.25">
      <c r="M544" s="65" t="s">
        <v>1117</v>
      </c>
      <c r="N544" s="65" t="s">
        <v>1118</v>
      </c>
    </row>
    <row r="545" spans="13:14" x14ac:dyDescent="0.25">
      <c r="M545" s="65" t="s">
        <v>1119</v>
      </c>
      <c r="N545" s="65" t="s">
        <v>1120</v>
      </c>
    </row>
    <row r="546" spans="13:14" x14ac:dyDescent="0.25">
      <c r="M546" s="65" t="s">
        <v>1121</v>
      </c>
      <c r="N546" s="65" t="s">
        <v>1122</v>
      </c>
    </row>
    <row r="547" spans="13:14" x14ac:dyDescent="0.25">
      <c r="M547" s="65" t="s">
        <v>1123</v>
      </c>
      <c r="N547" s="65" t="s">
        <v>1124</v>
      </c>
    </row>
    <row r="548" spans="13:14" x14ac:dyDescent="0.25">
      <c r="M548" s="65" t="s">
        <v>1125</v>
      </c>
      <c r="N548" s="65" t="s">
        <v>1126</v>
      </c>
    </row>
    <row r="549" spans="13:14" x14ac:dyDescent="0.25">
      <c r="M549" s="65" t="s">
        <v>1127</v>
      </c>
      <c r="N549" s="65" t="s">
        <v>1128</v>
      </c>
    </row>
    <row r="550" spans="13:14" x14ac:dyDescent="0.25">
      <c r="M550" s="65" t="s">
        <v>1129</v>
      </c>
      <c r="N550" s="65" t="s">
        <v>1130</v>
      </c>
    </row>
    <row r="551" spans="13:14" x14ac:dyDescent="0.25">
      <c r="M551" s="65" t="s">
        <v>1131</v>
      </c>
      <c r="N551" s="65" t="s">
        <v>1132</v>
      </c>
    </row>
    <row r="552" spans="13:14" x14ac:dyDescent="0.25">
      <c r="M552" s="65" t="s">
        <v>1133</v>
      </c>
      <c r="N552" s="65" t="s">
        <v>1134</v>
      </c>
    </row>
    <row r="553" spans="13:14" x14ac:dyDescent="0.25">
      <c r="M553" s="65" t="s">
        <v>1135</v>
      </c>
      <c r="N553" s="65" t="s">
        <v>1136</v>
      </c>
    </row>
    <row r="554" spans="13:14" x14ac:dyDescent="0.25">
      <c r="M554" s="65" t="s">
        <v>1137</v>
      </c>
      <c r="N554" s="65" t="s">
        <v>1138</v>
      </c>
    </row>
    <row r="555" spans="13:14" x14ac:dyDescent="0.25">
      <c r="M555" s="65" t="s">
        <v>1139</v>
      </c>
      <c r="N555" s="65" t="s">
        <v>1140</v>
      </c>
    </row>
    <row r="556" spans="13:14" x14ac:dyDescent="0.25">
      <c r="M556" s="65" t="s">
        <v>1141</v>
      </c>
      <c r="N556" s="65" t="s">
        <v>1142</v>
      </c>
    </row>
    <row r="557" spans="13:14" x14ac:dyDescent="0.25">
      <c r="M557" s="65" t="s">
        <v>1143</v>
      </c>
      <c r="N557" s="65" t="s">
        <v>1144</v>
      </c>
    </row>
    <row r="558" spans="13:14" x14ac:dyDescent="0.25">
      <c r="M558" s="65" t="s">
        <v>1145</v>
      </c>
      <c r="N558" s="65" t="s">
        <v>1146</v>
      </c>
    </row>
    <row r="559" spans="13:14" x14ac:dyDescent="0.25">
      <c r="M559" s="65" t="s">
        <v>1147</v>
      </c>
      <c r="N559" s="65" t="s">
        <v>1148</v>
      </c>
    </row>
    <row r="560" spans="13:14" x14ac:dyDescent="0.25">
      <c r="M560" s="65" t="s">
        <v>1149</v>
      </c>
      <c r="N560" s="65" t="s">
        <v>1150</v>
      </c>
    </row>
    <row r="561" spans="13:14" x14ac:dyDescent="0.25">
      <c r="M561" s="65" t="s">
        <v>1151</v>
      </c>
      <c r="N561" s="65" t="s">
        <v>1152</v>
      </c>
    </row>
    <row r="562" spans="13:14" x14ac:dyDescent="0.25">
      <c r="M562" s="65" t="s">
        <v>1153</v>
      </c>
      <c r="N562" s="65" t="s">
        <v>1154</v>
      </c>
    </row>
    <row r="563" spans="13:14" x14ac:dyDescent="0.25">
      <c r="M563" s="65" t="s">
        <v>1155</v>
      </c>
      <c r="N563" s="65" t="s">
        <v>1156</v>
      </c>
    </row>
    <row r="564" spans="13:14" x14ac:dyDescent="0.25">
      <c r="M564" s="65" t="s">
        <v>1157</v>
      </c>
      <c r="N564" s="65" t="s">
        <v>1158</v>
      </c>
    </row>
    <row r="565" spans="13:14" x14ac:dyDescent="0.25">
      <c r="M565" s="65" t="s">
        <v>1159</v>
      </c>
      <c r="N565" s="65" t="s">
        <v>1160</v>
      </c>
    </row>
    <row r="566" spans="13:14" x14ac:dyDescent="0.25">
      <c r="M566" s="65" t="s">
        <v>1161</v>
      </c>
      <c r="N566" s="65" t="s">
        <v>1162</v>
      </c>
    </row>
    <row r="567" spans="13:14" x14ac:dyDescent="0.25">
      <c r="M567" s="65" t="s">
        <v>1163</v>
      </c>
      <c r="N567" s="65" t="s">
        <v>1164</v>
      </c>
    </row>
    <row r="568" spans="13:14" x14ac:dyDescent="0.25">
      <c r="M568" s="65" t="s">
        <v>1165</v>
      </c>
      <c r="N568" s="65" t="s">
        <v>1166</v>
      </c>
    </row>
    <row r="569" spans="13:14" x14ac:dyDescent="0.25">
      <c r="M569" s="65" t="s">
        <v>1167</v>
      </c>
      <c r="N569" s="65" t="s">
        <v>1168</v>
      </c>
    </row>
    <row r="570" spans="13:14" x14ac:dyDescent="0.25">
      <c r="M570" s="65" t="s">
        <v>1169</v>
      </c>
      <c r="N570" s="65" t="s">
        <v>1170</v>
      </c>
    </row>
    <row r="571" spans="13:14" x14ac:dyDescent="0.25">
      <c r="M571" s="65" t="s">
        <v>1171</v>
      </c>
      <c r="N571" s="65" t="s">
        <v>1172</v>
      </c>
    </row>
    <row r="572" spans="13:14" x14ac:dyDescent="0.25">
      <c r="M572" s="65" t="s">
        <v>1173</v>
      </c>
      <c r="N572" s="65" t="s">
        <v>1174</v>
      </c>
    </row>
    <row r="573" spans="13:14" x14ac:dyDescent="0.25">
      <c r="M573" s="65" t="s">
        <v>1175</v>
      </c>
      <c r="N573" s="65" t="s">
        <v>1176</v>
      </c>
    </row>
    <row r="574" spans="13:14" x14ac:dyDescent="0.25">
      <c r="M574" s="65" t="s">
        <v>1177</v>
      </c>
      <c r="N574" s="65" t="s">
        <v>1178</v>
      </c>
    </row>
    <row r="575" spans="13:14" x14ac:dyDescent="0.25">
      <c r="M575" s="65" t="s">
        <v>1179</v>
      </c>
      <c r="N575" s="65" t="s">
        <v>1180</v>
      </c>
    </row>
    <row r="576" spans="13:14" x14ac:dyDescent="0.25">
      <c r="M576" s="65" t="s">
        <v>1181</v>
      </c>
      <c r="N576" s="65" t="s">
        <v>1182</v>
      </c>
    </row>
    <row r="577" spans="13:14" x14ac:dyDescent="0.25">
      <c r="M577" s="65" t="s">
        <v>1183</v>
      </c>
      <c r="N577" s="65" t="s">
        <v>1184</v>
      </c>
    </row>
    <row r="578" spans="13:14" x14ac:dyDescent="0.25">
      <c r="M578" s="65" t="s">
        <v>1185</v>
      </c>
      <c r="N578" s="65" t="s">
        <v>1186</v>
      </c>
    </row>
    <row r="579" spans="13:14" x14ac:dyDescent="0.25">
      <c r="M579" s="65" t="s">
        <v>1187</v>
      </c>
      <c r="N579" s="65" t="s">
        <v>1188</v>
      </c>
    </row>
    <row r="580" spans="13:14" x14ac:dyDescent="0.25">
      <c r="M580" s="65" t="s">
        <v>1189</v>
      </c>
      <c r="N580" s="65" t="s">
        <v>1190</v>
      </c>
    </row>
    <row r="581" spans="13:14" x14ac:dyDescent="0.25">
      <c r="M581" s="65" t="s">
        <v>1191</v>
      </c>
      <c r="N581" s="65" t="s">
        <v>1192</v>
      </c>
    </row>
    <row r="582" spans="13:14" x14ac:dyDescent="0.25">
      <c r="M582" s="65" t="s">
        <v>1193</v>
      </c>
      <c r="N582" s="65" t="s">
        <v>1194</v>
      </c>
    </row>
    <row r="583" spans="13:14" x14ac:dyDescent="0.25">
      <c r="M583" s="65" t="s">
        <v>1195</v>
      </c>
      <c r="N583" s="65" t="s">
        <v>1196</v>
      </c>
    </row>
    <row r="584" spans="13:14" x14ac:dyDescent="0.25">
      <c r="M584" s="65" t="s">
        <v>1197</v>
      </c>
      <c r="N584" s="65" t="s">
        <v>1198</v>
      </c>
    </row>
    <row r="585" spans="13:14" x14ac:dyDescent="0.25">
      <c r="M585" s="65" t="s">
        <v>1199</v>
      </c>
      <c r="N585" s="65" t="s">
        <v>1200</v>
      </c>
    </row>
    <row r="586" spans="13:14" x14ac:dyDescent="0.25">
      <c r="M586" s="65" t="s">
        <v>1201</v>
      </c>
      <c r="N586" s="65" t="s">
        <v>1202</v>
      </c>
    </row>
    <row r="587" spans="13:14" x14ac:dyDescent="0.25">
      <c r="M587" s="65" t="s">
        <v>1203</v>
      </c>
      <c r="N587" s="65" t="s">
        <v>1204</v>
      </c>
    </row>
    <row r="588" spans="13:14" x14ac:dyDescent="0.25">
      <c r="M588" s="65" t="s">
        <v>1205</v>
      </c>
      <c r="N588" s="65" t="s">
        <v>1206</v>
      </c>
    </row>
    <row r="589" spans="13:14" x14ac:dyDescent="0.25">
      <c r="M589" s="65" t="s">
        <v>1207</v>
      </c>
      <c r="N589" s="65" t="s">
        <v>1208</v>
      </c>
    </row>
    <row r="590" spans="13:14" x14ac:dyDescent="0.25">
      <c r="M590" s="65" t="s">
        <v>1209</v>
      </c>
      <c r="N590" s="65" t="s">
        <v>1210</v>
      </c>
    </row>
    <row r="591" spans="13:14" x14ac:dyDescent="0.25">
      <c r="M591" s="65" t="s">
        <v>1211</v>
      </c>
      <c r="N591" s="65" t="s">
        <v>1212</v>
      </c>
    </row>
    <row r="592" spans="13:14" x14ac:dyDescent="0.25">
      <c r="M592" s="65" t="s">
        <v>1213</v>
      </c>
      <c r="N592" s="65" t="s">
        <v>1214</v>
      </c>
    </row>
    <row r="593" spans="13:14" x14ac:dyDescent="0.25">
      <c r="M593" s="65" t="s">
        <v>1215</v>
      </c>
      <c r="N593" s="65" t="s">
        <v>1216</v>
      </c>
    </row>
    <row r="594" spans="13:14" x14ac:dyDescent="0.25">
      <c r="M594" s="65" t="s">
        <v>1217</v>
      </c>
      <c r="N594" s="65" t="s">
        <v>1218</v>
      </c>
    </row>
    <row r="595" spans="13:14" x14ac:dyDescent="0.25">
      <c r="M595" s="65" t="s">
        <v>1219</v>
      </c>
      <c r="N595" s="65" t="s">
        <v>1220</v>
      </c>
    </row>
    <row r="596" spans="13:14" x14ac:dyDescent="0.25">
      <c r="M596" s="65" t="s">
        <v>1221</v>
      </c>
      <c r="N596" s="65" t="s">
        <v>1222</v>
      </c>
    </row>
    <row r="597" spans="13:14" x14ac:dyDescent="0.25">
      <c r="M597" s="65" t="s">
        <v>1223</v>
      </c>
      <c r="N597" s="65" t="s">
        <v>1224</v>
      </c>
    </row>
    <row r="598" spans="13:14" x14ac:dyDescent="0.25">
      <c r="M598" s="65" t="s">
        <v>1225</v>
      </c>
      <c r="N598" s="65" t="s">
        <v>1226</v>
      </c>
    </row>
    <row r="599" spans="13:14" x14ac:dyDescent="0.25">
      <c r="M599" s="65" t="s">
        <v>1227</v>
      </c>
      <c r="N599" s="65" t="s">
        <v>1228</v>
      </c>
    </row>
    <row r="600" spans="13:14" x14ac:dyDescent="0.25">
      <c r="M600" s="65" t="s">
        <v>1229</v>
      </c>
      <c r="N600" s="65" t="s">
        <v>1230</v>
      </c>
    </row>
    <row r="601" spans="13:14" x14ac:dyDescent="0.25">
      <c r="M601" s="65" t="s">
        <v>1231</v>
      </c>
      <c r="N601" s="65" t="s">
        <v>1232</v>
      </c>
    </row>
    <row r="602" spans="13:14" x14ac:dyDescent="0.25">
      <c r="M602" s="65" t="s">
        <v>1233</v>
      </c>
      <c r="N602" s="65" t="s">
        <v>1234</v>
      </c>
    </row>
    <row r="603" spans="13:14" x14ac:dyDescent="0.25">
      <c r="M603" s="65" t="s">
        <v>1235</v>
      </c>
      <c r="N603" s="65" t="s">
        <v>1236</v>
      </c>
    </row>
    <row r="604" spans="13:14" x14ac:dyDescent="0.25">
      <c r="M604" s="65" t="s">
        <v>1237</v>
      </c>
      <c r="N604" s="65" t="s">
        <v>1238</v>
      </c>
    </row>
    <row r="605" spans="13:14" x14ac:dyDescent="0.25">
      <c r="M605" s="65" t="s">
        <v>1239</v>
      </c>
      <c r="N605" s="65" t="s">
        <v>1240</v>
      </c>
    </row>
    <row r="606" spans="13:14" x14ac:dyDescent="0.25">
      <c r="M606" s="65" t="s">
        <v>1241</v>
      </c>
      <c r="N606" s="65" t="s">
        <v>1242</v>
      </c>
    </row>
    <row r="607" spans="13:14" x14ac:dyDescent="0.25">
      <c r="M607" s="65" t="s">
        <v>1243</v>
      </c>
      <c r="N607" s="65" t="s">
        <v>1244</v>
      </c>
    </row>
    <row r="608" spans="13:14" x14ac:dyDescent="0.25">
      <c r="M608" s="65" t="s">
        <v>1245</v>
      </c>
      <c r="N608" s="65" t="s">
        <v>1246</v>
      </c>
    </row>
    <row r="609" spans="13:14" x14ac:dyDescent="0.25">
      <c r="M609" s="65" t="s">
        <v>1247</v>
      </c>
      <c r="N609" s="65" t="s">
        <v>1248</v>
      </c>
    </row>
    <row r="610" spans="13:14" x14ac:dyDescent="0.25">
      <c r="M610" s="65" t="s">
        <v>1249</v>
      </c>
      <c r="N610" s="65" t="s">
        <v>1250</v>
      </c>
    </row>
    <row r="611" spans="13:14" x14ac:dyDescent="0.25">
      <c r="M611" s="65" t="s">
        <v>1251</v>
      </c>
      <c r="N611" s="65" t="s">
        <v>1252</v>
      </c>
    </row>
    <row r="612" spans="13:14" x14ac:dyDescent="0.25">
      <c r="M612" s="65" t="s">
        <v>1253</v>
      </c>
      <c r="N612" s="65" t="s">
        <v>1254</v>
      </c>
    </row>
    <row r="613" spans="13:14" x14ac:dyDescent="0.25">
      <c r="M613" s="65" t="s">
        <v>1255</v>
      </c>
      <c r="N613" s="65" t="s">
        <v>1256</v>
      </c>
    </row>
    <row r="614" spans="13:14" x14ac:dyDescent="0.25">
      <c r="M614" s="65" t="s">
        <v>1257</v>
      </c>
      <c r="N614" s="65" t="s">
        <v>1258</v>
      </c>
    </row>
    <row r="615" spans="13:14" x14ac:dyDescent="0.25">
      <c r="M615" s="65" t="s">
        <v>1259</v>
      </c>
      <c r="N615" s="65" t="s">
        <v>1260</v>
      </c>
    </row>
    <row r="616" spans="13:14" x14ac:dyDescent="0.25">
      <c r="M616" s="65" t="s">
        <v>1261</v>
      </c>
      <c r="N616" s="65" t="s">
        <v>1262</v>
      </c>
    </row>
    <row r="617" spans="13:14" x14ac:dyDescent="0.25">
      <c r="M617" s="65" t="s">
        <v>1263</v>
      </c>
      <c r="N617" s="65" t="s">
        <v>1264</v>
      </c>
    </row>
    <row r="618" spans="13:14" x14ac:dyDescent="0.25">
      <c r="M618" s="65" t="s">
        <v>1265</v>
      </c>
      <c r="N618" s="65" t="s">
        <v>1266</v>
      </c>
    </row>
    <row r="619" spans="13:14" x14ac:dyDescent="0.25">
      <c r="M619" s="65" t="s">
        <v>1267</v>
      </c>
      <c r="N619" s="65" t="s">
        <v>1268</v>
      </c>
    </row>
    <row r="620" spans="13:14" x14ac:dyDescent="0.25">
      <c r="M620" s="65" t="s">
        <v>1269</v>
      </c>
      <c r="N620" s="65" t="s">
        <v>1270</v>
      </c>
    </row>
    <row r="621" spans="13:14" x14ac:dyDescent="0.25">
      <c r="M621" s="65" t="s">
        <v>1271</v>
      </c>
      <c r="N621" s="65" t="s">
        <v>1272</v>
      </c>
    </row>
    <row r="622" spans="13:14" x14ac:dyDescent="0.25">
      <c r="M622" s="65" t="s">
        <v>1273</v>
      </c>
      <c r="N622" s="65" t="s">
        <v>1274</v>
      </c>
    </row>
    <row r="623" spans="13:14" x14ac:dyDescent="0.25">
      <c r="M623" s="65" t="s">
        <v>1275</v>
      </c>
      <c r="N623" s="65" t="s">
        <v>1276</v>
      </c>
    </row>
    <row r="624" spans="13:14" x14ac:dyDescent="0.25">
      <c r="M624" s="65" t="s">
        <v>1277</v>
      </c>
      <c r="N624" s="65" t="s">
        <v>1278</v>
      </c>
    </row>
    <row r="625" spans="13:14" x14ac:dyDescent="0.25">
      <c r="M625" s="65" t="s">
        <v>1279</v>
      </c>
      <c r="N625" s="65" t="s">
        <v>1280</v>
      </c>
    </row>
    <row r="626" spans="13:14" x14ac:dyDescent="0.25">
      <c r="M626" s="65" t="s">
        <v>1281</v>
      </c>
      <c r="N626" s="65" t="s">
        <v>1282</v>
      </c>
    </row>
    <row r="627" spans="13:14" x14ac:dyDescent="0.25">
      <c r="M627" s="65" t="s">
        <v>1283</v>
      </c>
      <c r="N627" s="65" t="s">
        <v>1284</v>
      </c>
    </row>
    <row r="628" spans="13:14" x14ac:dyDescent="0.25">
      <c r="M628" s="65" t="s">
        <v>1285</v>
      </c>
      <c r="N628" s="65" t="s">
        <v>1286</v>
      </c>
    </row>
    <row r="629" spans="13:14" x14ac:dyDescent="0.25">
      <c r="M629" s="65" t="s">
        <v>1287</v>
      </c>
      <c r="N629" s="65" t="s">
        <v>1288</v>
      </c>
    </row>
    <row r="630" spans="13:14" x14ac:dyDescent="0.25">
      <c r="M630" s="65" t="s">
        <v>1289</v>
      </c>
      <c r="N630" s="65" t="s">
        <v>1290</v>
      </c>
    </row>
    <row r="631" spans="13:14" x14ac:dyDescent="0.25">
      <c r="M631" s="65" t="s">
        <v>1291</v>
      </c>
      <c r="N631" s="65" t="s">
        <v>1292</v>
      </c>
    </row>
    <row r="632" spans="13:14" x14ac:dyDescent="0.25">
      <c r="M632" s="65" t="s">
        <v>1293</v>
      </c>
      <c r="N632" s="65" t="s">
        <v>1294</v>
      </c>
    </row>
    <row r="633" spans="13:14" x14ac:dyDescent="0.25">
      <c r="M633" s="65" t="s">
        <v>1295</v>
      </c>
      <c r="N633" s="65" t="s">
        <v>1296</v>
      </c>
    </row>
    <row r="634" spans="13:14" x14ac:dyDescent="0.25">
      <c r="M634" s="65" t="s">
        <v>1297</v>
      </c>
      <c r="N634" s="65" t="s">
        <v>1298</v>
      </c>
    </row>
    <row r="635" spans="13:14" x14ac:dyDescent="0.25">
      <c r="M635" s="65" t="s">
        <v>1299</v>
      </c>
      <c r="N635" s="65" t="s">
        <v>1300</v>
      </c>
    </row>
    <row r="636" spans="13:14" x14ac:dyDescent="0.25">
      <c r="M636" s="65" t="s">
        <v>1301</v>
      </c>
      <c r="N636" s="65" t="s">
        <v>1302</v>
      </c>
    </row>
    <row r="637" spans="13:14" x14ac:dyDescent="0.25">
      <c r="M637" s="65" t="s">
        <v>1303</v>
      </c>
      <c r="N637" s="65" t="s">
        <v>1304</v>
      </c>
    </row>
    <row r="638" spans="13:14" x14ac:dyDescent="0.25">
      <c r="M638" s="65" t="s">
        <v>1305</v>
      </c>
      <c r="N638" s="65" t="s">
        <v>1306</v>
      </c>
    </row>
    <row r="639" spans="13:14" x14ac:dyDescent="0.25">
      <c r="M639" s="65" t="s">
        <v>1307</v>
      </c>
      <c r="N639" s="65" t="s">
        <v>1308</v>
      </c>
    </row>
    <row r="640" spans="13:14" x14ac:dyDescent="0.25">
      <c r="M640" s="65" t="s">
        <v>1309</v>
      </c>
      <c r="N640" s="65" t="s">
        <v>1310</v>
      </c>
    </row>
    <row r="641" spans="13:14" x14ac:dyDescent="0.25">
      <c r="M641" s="65" t="s">
        <v>1311</v>
      </c>
      <c r="N641" s="65" t="s">
        <v>1312</v>
      </c>
    </row>
    <row r="642" spans="13:14" x14ac:dyDescent="0.25">
      <c r="M642" s="65" t="s">
        <v>1313</v>
      </c>
      <c r="N642" s="65" t="s">
        <v>1314</v>
      </c>
    </row>
    <row r="643" spans="13:14" x14ac:dyDescent="0.25">
      <c r="M643" s="65" t="s">
        <v>1315</v>
      </c>
      <c r="N643" s="65" t="s">
        <v>1316</v>
      </c>
    </row>
    <row r="644" spans="13:14" x14ac:dyDescent="0.25">
      <c r="M644" s="65" t="s">
        <v>1317</v>
      </c>
      <c r="N644" s="65" t="s">
        <v>1318</v>
      </c>
    </row>
    <row r="645" spans="13:14" x14ac:dyDescent="0.25">
      <c r="M645" s="65" t="s">
        <v>1319</v>
      </c>
      <c r="N645" s="65" t="s">
        <v>1320</v>
      </c>
    </row>
    <row r="646" spans="13:14" x14ac:dyDescent="0.25">
      <c r="M646" s="65" t="s">
        <v>1321</v>
      </c>
      <c r="N646" s="65" t="s">
        <v>1322</v>
      </c>
    </row>
    <row r="647" spans="13:14" x14ac:dyDescent="0.25">
      <c r="M647" s="65" t="s">
        <v>1323</v>
      </c>
      <c r="N647" s="65" t="s">
        <v>1324</v>
      </c>
    </row>
    <row r="648" spans="13:14" x14ac:dyDescent="0.25">
      <c r="M648" s="65" t="s">
        <v>1325</v>
      </c>
      <c r="N648" s="65" t="s">
        <v>1326</v>
      </c>
    </row>
    <row r="649" spans="13:14" x14ac:dyDescent="0.25">
      <c r="M649" s="65" t="s">
        <v>1327</v>
      </c>
      <c r="N649" s="65" t="s">
        <v>1328</v>
      </c>
    </row>
    <row r="650" spans="13:14" x14ac:dyDescent="0.25">
      <c r="M650" s="65" t="s">
        <v>1329</v>
      </c>
      <c r="N650" s="65" t="s">
        <v>1330</v>
      </c>
    </row>
    <row r="651" spans="13:14" x14ac:dyDescent="0.25">
      <c r="M651" s="65" t="s">
        <v>1331</v>
      </c>
      <c r="N651" s="65" t="s">
        <v>1332</v>
      </c>
    </row>
    <row r="652" spans="13:14" x14ac:dyDescent="0.25">
      <c r="M652" s="65" t="s">
        <v>1333</v>
      </c>
      <c r="N652" s="65" t="s">
        <v>1334</v>
      </c>
    </row>
    <row r="653" spans="13:14" x14ac:dyDescent="0.25">
      <c r="M653" s="65" t="s">
        <v>1335</v>
      </c>
      <c r="N653" s="65" t="s">
        <v>1336</v>
      </c>
    </row>
    <row r="654" spans="13:14" x14ac:dyDescent="0.25">
      <c r="M654" s="65" t="s">
        <v>1337</v>
      </c>
      <c r="N654" s="65" t="s">
        <v>1338</v>
      </c>
    </row>
    <row r="655" spans="13:14" x14ac:dyDescent="0.25">
      <c r="M655" s="65" t="s">
        <v>1339</v>
      </c>
      <c r="N655" s="65" t="s">
        <v>1340</v>
      </c>
    </row>
    <row r="656" spans="13:14" x14ac:dyDescent="0.25">
      <c r="M656" s="65" t="s">
        <v>1341</v>
      </c>
      <c r="N656" s="65" t="s">
        <v>1342</v>
      </c>
    </row>
    <row r="657" spans="13:14" x14ac:dyDescent="0.25">
      <c r="M657" s="65" t="s">
        <v>1343</v>
      </c>
      <c r="N657" s="65" t="s">
        <v>1344</v>
      </c>
    </row>
    <row r="658" spans="13:14" x14ac:dyDescent="0.25">
      <c r="M658" s="65" t="s">
        <v>1345</v>
      </c>
      <c r="N658" s="65" t="s">
        <v>1346</v>
      </c>
    </row>
    <row r="659" spans="13:14" x14ac:dyDescent="0.25">
      <c r="M659" s="65" t="s">
        <v>1347</v>
      </c>
      <c r="N659" s="65" t="s">
        <v>1348</v>
      </c>
    </row>
    <row r="660" spans="13:14" x14ac:dyDescent="0.25">
      <c r="M660" s="65" t="s">
        <v>1349</v>
      </c>
      <c r="N660" s="65" t="s">
        <v>1350</v>
      </c>
    </row>
    <row r="661" spans="13:14" x14ac:dyDescent="0.25">
      <c r="M661" s="65" t="s">
        <v>1351</v>
      </c>
      <c r="N661" s="65" t="s">
        <v>1352</v>
      </c>
    </row>
    <row r="662" spans="13:14" x14ac:dyDescent="0.25">
      <c r="M662" s="65" t="s">
        <v>1353</v>
      </c>
      <c r="N662" s="65" t="s">
        <v>1354</v>
      </c>
    </row>
    <row r="663" spans="13:14" x14ac:dyDescent="0.25">
      <c r="M663" s="65" t="s">
        <v>1355</v>
      </c>
      <c r="N663" s="65" t="s">
        <v>1356</v>
      </c>
    </row>
    <row r="664" spans="13:14" x14ac:dyDescent="0.25">
      <c r="M664" s="65" t="s">
        <v>1357</v>
      </c>
      <c r="N664" s="65" t="s">
        <v>1358</v>
      </c>
    </row>
    <row r="665" spans="13:14" x14ac:dyDescent="0.25">
      <c r="M665" s="65" t="s">
        <v>1359</v>
      </c>
      <c r="N665" s="65" t="s">
        <v>1360</v>
      </c>
    </row>
    <row r="666" spans="13:14" x14ac:dyDescent="0.25">
      <c r="M666" s="65" t="s">
        <v>1361</v>
      </c>
      <c r="N666" s="65" t="s">
        <v>1362</v>
      </c>
    </row>
    <row r="667" spans="13:14" x14ac:dyDescent="0.25">
      <c r="M667" s="65" t="s">
        <v>1363</v>
      </c>
      <c r="N667" s="65" t="s">
        <v>1364</v>
      </c>
    </row>
    <row r="668" spans="13:14" x14ac:dyDescent="0.25">
      <c r="M668" s="65" t="s">
        <v>1365</v>
      </c>
      <c r="N668" s="65" t="s">
        <v>1366</v>
      </c>
    </row>
    <row r="669" spans="13:14" x14ac:dyDescent="0.25">
      <c r="M669" s="65" t="s">
        <v>1367</v>
      </c>
      <c r="N669" s="65" t="s">
        <v>1368</v>
      </c>
    </row>
    <row r="670" spans="13:14" x14ac:dyDescent="0.25">
      <c r="M670" s="65" t="s">
        <v>1369</v>
      </c>
      <c r="N670" s="65" t="s">
        <v>1370</v>
      </c>
    </row>
    <row r="671" spans="13:14" x14ac:dyDescent="0.25">
      <c r="M671" s="65" t="s">
        <v>1371</v>
      </c>
      <c r="N671" s="65" t="s">
        <v>1372</v>
      </c>
    </row>
    <row r="672" spans="13:14" x14ac:dyDescent="0.25">
      <c r="M672" s="65" t="s">
        <v>1373</v>
      </c>
      <c r="N672" s="65" t="s">
        <v>1374</v>
      </c>
    </row>
    <row r="673" spans="13:14" x14ac:dyDescent="0.25">
      <c r="M673" s="65" t="s">
        <v>1375</v>
      </c>
      <c r="N673" s="65" t="s">
        <v>1376</v>
      </c>
    </row>
    <row r="674" spans="13:14" x14ac:dyDescent="0.25">
      <c r="M674" s="65" t="s">
        <v>1377</v>
      </c>
      <c r="N674" s="65" t="s">
        <v>1378</v>
      </c>
    </row>
    <row r="675" spans="13:14" x14ac:dyDescent="0.25">
      <c r="M675" s="65" t="s">
        <v>1379</v>
      </c>
      <c r="N675" s="65" t="s">
        <v>1380</v>
      </c>
    </row>
    <row r="676" spans="13:14" x14ac:dyDescent="0.25">
      <c r="M676" s="65" t="s">
        <v>1381</v>
      </c>
      <c r="N676" s="65" t="s">
        <v>1382</v>
      </c>
    </row>
    <row r="677" spans="13:14" x14ac:dyDescent="0.25">
      <c r="M677" s="65" t="s">
        <v>1383</v>
      </c>
      <c r="N677" s="65" t="s">
        <v>1384</v>
      </c>
    </row>
    <row r="678" spans="13:14" x14ac:dyDescent="0.25">
      <c r="M678" s="65" t="s">
        <v>1385</v>
      </c>
      <c r="N678" s="65" t="s">
        <v>1386</v>
      </c>
    </row>
    <row r="679" spans="13:14" x14ac:dyDescent="0.25">
      <c r="M679" s="65" t="s">
        <v>1387</v>
      </c>
      <c r="N679" s="65" t="s">
        <v>1388</v>
      </c>
    </row>
    <row r="680" spans="13:14" x14ac:dyDescent="0.25">
      <c r="M680" s="65" t="s">
        <v>1389</v>
      </c>
      <c r="N680" s="65" t="s">
        <v>1390</v>
      </c>
    </row>
    <row r="681" spans="13:14" x14ac:dyDescent="0.25">
      <c r="M681" s="65" t="s">
        <v>1391</v>
      </c>
      <c r="N681" s="65" t="s">
        <v>1392</v>
      </c>
    </row>
    <row r="682" spans="13:14" x14ac:dyDescent="0.25">
      <c r="M682" s="65" t="s">
        <v>1393</v>
      </c>
      <c r="N682" s="65" t="s">
        <v>1394</v>
      </c>
    </row>
    <row r="683" spans="13:14" x14ac:dyDescent="0.25">
      <c r="M683" s="65" t="s">
        <v>1395</v>
      </c>
      <c r="N683" s="65" t="s">
        <v>1396</v>
      </c>
    </row>
    <row r="684" spans="13:14" x14ac:dyDescent="0.25">
      <c r="M684" s="65" t="s">
        <v>1397</v>
      </c>
      <c r="N684" s="65" t="s">
        <v>1398</v>
      </c>
    </row>
    <row r="685" spans="13:14" x14ac:dyDescent="0.25">
      <c r="M685" s="65" t="s">
        <v>1399</v>
      </c>
      <c r="N685" s="65" t="s">
        <v>1400</v>
      </c>
    </row>
    <row r="686" spans="13:14" x14ac:dyDescent="0.25">
      <c r="M686" s="65" t="s">
        <v>1401</v>
      </c>
      <c r="N686" s="65" t="s">
        <v>1402</v>
      </c>
    </row>
    <row r="687" spans="13:14" x14ac:dyDescent="0.25">
      <c r="M687" s="65" t="s">
        <v>1403</v>
      </c>
      <c r="N687" s="65" t="s">
        <v>1404</v>
      </c>
    </row>
    <row r="688" spans="13:14" x14ac:dyDescent="0.25">
      <c r="M688" s="65" t="s">
        <v>1405</v>
      </c>
      <c r="N688" s="65" t="s">
        <v>1406</v>
      </c>
    </row>
    <row r="689" spans="13:14" x14ac:dyDescent="0.25">
      <c r="M689" s="65" t="s">
        <v>1407</v>
      </c>
      <c r="N689" s="65" t="s">
        <v>1408</v>
      </c>
    </row>
    <row r="690" spans="13:14" x14ac:dyDescent="0.25">
      <c r="M690" s="65" t="s">
        <v>1409</v>
      </c>
      <c r="N690" s="65" t="s">
        <v>1410</v>
      </c>
    </row>
    <row r="691" spans="13:14" x14ac:dyDescent="0.25">
      <c r="M691" s="65" t="s">
        <v>1411</v>
      </c>
      <c r="N691" s="65" t="s">
        <v>1412</v>
      </c>
    </row>
    <row r="692" spans="13:14" x14ac:dyDescent="0.25">
      <c r="M692" s="65" t="s">
        <v>1413</v>
      </c>
      <c r="N692" s="65" t="s">
        <v>1414</v>
      </c>
    </row>
    <row r="693" spans="13:14" x14ac:dyDescent="0.25">
      <c r="M693" s="65" t="s">
        <v>1415</v>
      </c>
      <c r="N693" s="65" t="s">
        <v>1416</v>
      </c>
    </row>
    <row r="694" spans="13:14" x14ac:dyDescent="0.25">
      <c r="M694" s="65" t="s">
        <v>1417</v>
      </c>
      <c r="N694" s="65" t="s">
        <v>1418</v>
      </c>
    </row>
    <row r="695" spans="13:14" x14ac:dyDescent="0.25">
      <c r="M695" s="65" t="s">
        <v>1419</v>
      </c>
      <c r="N695" s="65" t="s">
        <v>1420</v>
      </c>
    </row>
    <row r="696" spans="13:14" x14ac:dyDescent="0.25">
      <c r="M696" s="65" t="s">
        <v>1421</v>
      </c>
      <c r="N696" s="65" t="s">
        <v>1422</v>
      </c>
    </row>
    <row r="697" spans="13:14" x14ac:dyDescent="0.25">
      <c r="M697" s="65" t="s">
        <v>1423</v>
      </c>
      <c r="N697" s="65" t="s">
        <v>1424</v>
      </c>
    </row>
    <row r="698" spans="13:14" x14ac:dyDescent="0.25">
      <c r="M698" s="65" t="s">
        <v>1425</v>
      </c>
      <c r="N698" s="65" t="s">
        <v>1426</v>
      </c>
    </row>
    <row r="699" spans="13:14" x14ac:dyDescent="0.25">
      <c r="M699" s="65" t="s">
        <v>1427</v>
      </c>
      <c r="N699" s="65" t="s">
        <v>1428</v>
      </c>
    </row>
    <row r="700" spans="13:14" x14ac:dyDescent="0.25">
      <c r="M700" s="65" t="s">
        <v>1429</v>
      </c>
      <c r="N700" s="65" t="s">
        <v>1430</v>
      </c>
    </row>
    <row r="701" spans="13:14" x14ac:dyDescent="0.25">
      <c r="M701" s="65" t="s">
        <v>1431</v>
      </c>
      <c r="N701" s="65" t="s">
        <v>1432</v>
      </c>
    </row>
    <row r="702" spans="13:14" x14ac:dyDescent="0.25">
      <c r="M702" s="65" t="s">
        <v>1433</v>
      </c>
      <c r="N702" s="65" t="s">
        <v>1434</v>
      </c>
    </row>
    <row r="703" spans="13:14" x14ac:dyDescent="0.25">
      <c r="M703" s="65" t="s">
        <v>1435</v>
      </c>
      <c r="N703" s="65" t="s">
        <v>1436</v>
      </c>
    </row>
    <row r="704" spans="13:14" x14ac:dyDescent="0.25">
      <c r="M704" s="65" t="s">
        <v>1437</v>
      </c>
      <c r="N704" s="65" t="s">
        <v>1438</v>
      </c>
    </row>
    <row r="705" spans="13:14" x14ac:dyDescent="0.25">
      <c r="M705" s="65" t="s">
        <v>1439</v>
      </c>
      <c r="N705" s="65" t="s">
        <v>1440</v>
      </c>
    </row>
    <row r="706" spans="13:14" x14ac:dyDescent="0.25">
      <c r="M706" s="65" t="s">
        <v>1441</v>
      </c>
      <c r="N706" s="65" t="s">
        <v>1442</v>
      </c>
    </row>
    <row r="707" spans="13:14" x14ac:dyDescent="0.25">
      <c r="M707" s="65" t="s">
        <v>1443</v>
      </c>
      <c r="N707" s="65" t="s">
        <v>1444</v>
      </c>
    </row>
    <row r="708" spans="13:14" x14ac:dyDescent="0.25">
      <c r="M708" s="65" t="s">
        <v>1445</v>
      </c>
      <c r="N708" s="65" t="s">
        <v>1446</v>
      </c>
    </row>
    <row r="709" spans="13:14" x14ac:dyDescent="0.25">
      <c r="M709" s="65" t="s">
        <v>1447</v>
      </c>
      <c r="N709" s="65" t="s">
        <v>1448</v>
      </c>
    </row>
    <row r="710" spans="13:14" x14ac:dyDescent="0.25">
      <c r="M710" s="65" t="s">
        <v>1449</v>
      </c>
      <c r="N710" s="65" t="s">
        <v>1450</v>
      </c>
    </row>
    <row r="711" spans="13:14" x14ac:dyDescent="0.25">
      <c r="M711" s="65" t="s">
        <v>1451</v>
      </c>
      <c r="N711" s="65" t="s">
        <v>1452</v>
      </c>
    </row>
    <row r="712" spans="13:14" x14ac:dyDescent="0.25">
      <c r="M712" s="65" t="s">
        <v>1453</v>
      </c>
      <c r="N712" s="65" t="s">
        <v>1454</v>
      </c>
    </row>
    <row r="713" spans="13:14" x14ac:dyDescent="0.25">
      <c r="M713" s="65" t="s">
        <v>1455</v>
      </c>
      <c r="N713" s="65" t="s">
        <v>1456</v>
      </c>
    </row>
    <row r="714" spans="13:14" x14ac:dyDescent="0.25">
      <c r="M714" s="65" t="s">
        <v>1457</v>
      </c>
      <c r="N714" s="65" t="s">
        <v>1458</v>
      </c>
    </row>
    <row r="715" spans="13:14" x14ac:dyDescent="0.25">
      <c r="M715" s="65" t="s">
        <v>1459</v>
      </c>
      <c r="N715" s="65" t="s">
        <v>1460</v>
      </c>
    </row>
    <row r="716" spans="13:14" x14ac:dyDescent="0.25">
      <c r="M716" s="65" t="s">
        <v>1461</v>
      </c>
      <c r="N716" s="65" t="s">
        <v>1462</v>
      </c>
    </row>
    <row r="717" spans="13:14" x14ac:dyDescent="0.25">
      <c r="M717" s="65" t="s">
        <v>1463</v>
      </c>
      <c r="N717" s="65" t="s">
        <v>1464</v>
      </c>
    </row>
    <row r="718" spans="13:14" x14ac:dyDescent="0.25">
      <c r="M718" s="65" t="s">
        <v>1465</v>
      </c>
      <c r="N718" s="65" t="s">
        <v>1466</v>
      </c>
    </row>
    <row r="719" spans="13:14" x14ac:dyDescent="0.25">
      <c r="M719" s="65" t="s">
        <v>1467</v>
      </c>
      <c r="N719" s="65" t="s">
        <v>1468</v>
      </c>
    </row>
    <row r="720" spans="13:14" x14ac:dyDescent="0.25">
      <c r="M720" s="65" t="s">
        <v>1469</v>
      </c>
      <c r="N720" s="65" t="s">
        <v>1470</v>
      </c>
    </row>
    <row r="721" spans="13:14" x14ac:dyDescent="0.25">
      <c r="M721" s="65" t="s">
        <v>1471</v>
      </c>
      <c r="N721" s="65" t="s">
        <v>1472</v>
      </c>
    </row>
    <row r="722" spans="13:14" x14ac:dyDescent="0.25">
      <c r="M722" s="65" t="s">
        <v>1473</v>
      </c>
      <c r="N722" s="65" t="s">
        <v>1474</v>
      </c>
    </row>
    <row r="723" spans="13:14" x14ac:dyDescent="0.25">
      <c r="M723" s="65" t="s">
        <v>1475</v>
      </c>
      <c r="N723" s="65" t="s">
        <v>1476</v>
      </c>
    </row>
    <row r="724" spans="13:14" x14ac:dyDescent="0.25">
      <c r="M724" s="65" t="s">
        <v>1477</v>
      </c>
      <c r="N724" s="65" t="s">
        <v>1478</v>
      </c>
    </row>
    <row r="725" spans="13:14" x14ac:dyDescent="0.25">
      <c r="M725" s="65" t="s">
        <v>1479</v>
      </c>
      <c r="N725" s="65" t="s">
        <v>1480</v>
      </c>
    </row>
    <row r="726" spans="13:14" x14ac:dyDescent="0.25">
      <c r="M726" s="65" t="s">
        <v>1481</v>
      </c>
      <c r="N726" s="65" t="s">
        <v>1482</v>
      </c>
    </row>
    <row r="727" spans="13:14" x14ac:dyDescent="0.25">
      <c r="M727" s="65" t="s">
        <v>1483</v>
      </c>
      <c r="N727" s="65" t="s">
        <v>1484</v>
      </c>
    </row>
    <row r="728" spans="13:14" x14ac:dyDescent="0.25">
      <c r="M728" s="65" t="s">
        <v>1485</v>
      </c>
      <c r="N728" s="65" t="s">
        <v>1486</v>
      </c>
    </row>
    <row r="729" spans="13:14" x14ac:dyDescent="0.25">
      <c r="M729" s="65" t="s">
        <v>1487</v>
      </c>
      <c r="N729" s="65" t="s">
        <v>1488</v>
      </c>
    </row>
    <row r="730" spans="13:14" x14ac:dyDescent="0.25">
      <c r="M730" s="65" t="s">
        <v>1489</v>
      </c>
      <c r="N730" s="65" t="s">
        <v>1490</v>
      </c>
    </row>
    <row r="731" spans="13:14" x14ac:dyDescent="0.25">
      <c r="M731" s="65" t="s">
        <v>1491</v>
      </c>
      <c r="N731" s="65" t="s">
        <v>1492</v>
      </c>
    </row>
    <row r="732" spans="13:14" x14ac:dyDescent="0.25">
      <c r="M732" s="65" t="s">
        <v>1493</v>
      </c>
      <c r="N732" s="65" t="s">
        <v>1494</v>
      </c>
    </row>
    <row r="733" spans="13:14" x14ac:dyDescent="0.25">
      <c r="M733" s="65" t="s">
        <v>1495</v>
      </c>
      <c r="N733" s="65" t="s">
        <v>1496</v>
      </c>
    </row>
    <row r="734" spans="13:14" x14ac:dyDescent="0.25">
      <c r="M734" s="65" t="s">
        <v>1497</v>
      </c>
      <c r="N734" s="65" t="s">
        <v>1498</v>
      </c>
    </row>
    <row r="735" spans="13:14" x14ac:dyDescent="0.25">
      <c r="M735" s="65" t="s">
        <v>1499</v>
      </c>
      <c r="N735" s="65" t="s">
        <v>1500</v>
      </c>
    </row>
    <row r="736" spans="13:14" x14ac:dyDescent="0.25">
      <c r="M736" s="65" t="s">
        <v>1501</v>
      </c>
      <c r="N736" s="65" t="s">
        <v>1502</v>
      </c>
    </row>
    <row r="737" spans="13:14" x14ac:dyDescent="0.25">
      <c r="M737" s="65" t="s">
        <v>1503</v>
      </c>
      <c r="N737" s="65" t="s">
        <v>1504</v>
      </c>
    </row>
    <row r="738" spans="13:14" x14ac:dyDescent="0.25">
      <c r="M738" s="65" t="s">
        <v>1505</v>
      </c>
      <c r="N738" s="65" t="s">
        <v>1506</v>
      </c>
    </row>
    <row r="739" spans="13:14" x14ac:dyDescent="0.25">
      <c r="M739" s="65" t="s">
        <v>1507</v>
      </c>
      <c r="N739" s="65" t="s">
        <v>1508</v>
      </c>
    </row>
    <row r="740" spans="13:14" x14ac:dyDescent="0.25">
      <c r="M740" s="65" t="s">
        <v>1509</v>
      </c>
      <c r="N740" s="65" t="s">
        <v>1510</v>
      </c>
    </row>
    <row r="741" spans="13:14" x14ac:dyDescent="0.25">
      <c r="M741" s="65" t="s">
        <v>1511</v>
      </c>
      <c r="N741" s="65" t="s">
        <v>1512</v>
      </c>
    </row>
    <row r="742" spans="13:14" x14ac:dyDescent="0.25">
      <c r="M742" s="65" t="s">
        <v>1513</v>
      </c>
      <c r="N742" s="65" t="s">
        <v>1514</v>
      </c>
    </row>
    <row r="743" spans="13:14" x14ac:dyDescent="0.25">
      <c r="M743" s="65" t="s">
        <v>1515</v>
      </c>
      <c r="N743" s="65" t="s">
        <v>1516</v>
      </c>
    </row>
    <row r="744" spans="13:14" x14ac:dyDescent="0.25">
      <c r="M744" s="65" t="s">
        <v>1517</v>
      </c>
      <c r="N744" s="65" t="s">
        <v>1518</v>
      </c>
    </row>
    <row r="745" spans="13:14" x14ac:dyDescent="0.25">
      <c r="M745" s="65" t="s">
        <v>1519</v>
      </c>
      <c r="N745" s="65" t="s">
        <v>1520</v>
      </c>
    </row>
    <row r="746" spans="13:14" x14ac:dyDescent="0.25">
      <c r="M746" s="65" t="s">
        <v>1521</v>
      </c>
      <c r="N746" s="65" t="s">
        <v>1522</v>
      </c>
    </row>
    <row r="747" spans="13:14" x14ac:dyDescent="0.25">
      <c r="M747" s="65" t="s">
        <v>1523</v>
      </c>
      <c r="N747" s="65" t="s">
        <v>1524</v>
      </c>
    </row>
    <row r="748" spans="13:14" x14ac:dyDescent="0.25">
      <c r="M748" s="65" t="s">
        <v>1525</v>
      </c>
      <c r="N748" s="65" t="s">
        <v>1526</v>
      </c>
    </row>
    <row r="749" spans="13:14" x14ac:dyDescent="0.25">
      <c r="M749" s="65" t="s">
        <v>1527</v>
      </c>
      <c r="N749" s="65" t="s">
        <v>1528</v>
      </c>
    </row>
    <row r="750" spans="13:14" x14ac:dyDescent="0.25">
      <c r="M750" s="65" t="s">
        <v>1529</v>
      </c>
      <c r="N750" s="65" t="s">
        <v>1530</v>
      </c>
    </row>
    <row r="751" spans="13:14" x14ac:dyDescent="0.25">
      <c r="M751" s="65" t="s">
        <v>1531</v>
      </c>
      <c r="N751" s="65" t="s">
        <v>1532</v>
      </c>
    </row>
    <row r="752" spans="13:14" x14ac:dyDescent="0.25">
      <c r="M752" s="65" t="s">
        <v>1533</v>
      </c>
      <c r="N752" s="65" t="s">
        <v>1534</v>
      </c>
    </row>
    <row r="753" spans="13:14" x14ac:dyDescent="0.25">
      <c r="M753" s="65" t="s">
        <v>1535</v>
      </c>
      <c r="N753" s="65" t="s">
        <v>1536</v>
      </c>
    </row>
    <row r="754" spans="13:14" x14ac:dyDescent="0.25">
      <c r="M754" s="65" t="s">
        <v>1537</v>
      </c>
      <c r="N754" s="65" t="s">
        <v>1538</v>
      </c>
    </row>
    <row r="755" spans="13:14" x14ac:dyDescent="0.25">
      <c r="M755" s="65" t="s">
        <v>1539</v>
      </c>
      <c r="N755" s="65" t="s">
        <v>1540</v>
      </c>
    </row>
    <row r="756" spans="13:14" x14ac:dyDescent="0.25">
      <c r="M756" s="65" t="s">
        <v>1541</v>
      </c>
      <c r="N756" s="65" t="s">
        <v>1542</v>
      </c>
    </row>
    <row r="757" spans="13:14" x14ac:dyDescent="0.25">
      <c r="M757" s="65" t="s">
        <v>1543</v>
      </c>
      <c r="N757" s="65" t="s">
        <v>1544</v>
      </c>
    </row>
    <row r="758" spans="13:14" x14ac:dyDescent="0.25">
      <c r="M758" s="65" t="s">
        <v>1545</v>
      </c>
      <c r="N758" s="65" t="s">
        <v>1546</v>
      </c>
    </row>
    <row r="759" spans="13:14" x14ac:dyDescent="0.25">
      <c r="M759" s="65" t="s">
        <v>1547</v>
      </c>
      <c r="N759" s="65" t="s">
        <v>1548</v>
      </c>
    </row>
    <row r="760" spans="13:14" x14ac:dyDescent="0.25">
      <c r="M760" s="65" t="s">
        <v>1549</v>
      </c>
      <c r="N760" s="65" t="s">
        <v>1550</v>
      </c>
    </row>
    <row r="761" spans="13:14" x14ac:dyDescent="0.25">
      <c r="M761" s="65" t="s">
        <v>1551</v>
      </c>
      <c r="N761" s="65" t="s">
        <v>1552</v>
      </c>
    </row>
    <row r="762" spans="13:14" x14ac:dyDescent="0.25">
      <c r="M762" s="65" t="s">
        <v>1553</v>
      </c>
      <c r="N762" s="65" t="s">
        <v>1554</v>
      </c>
    </row>
    <row r="763" spans="13:14" x14ac:dyDescent="0.25">
      <c r="M763" s="65" t="s">
        <v>1555</v>
      </c>
      <c r="N763" s="65" t="s">
        <v>1556</v>
      </c>
    </row>
    <row r="764" spans="13:14" x14ac:dyDescent="0.25">
      <c r="M764" s="65" t="s">
        <v>1557</v>
      </c>
      <c r="N764" s="65" t="s">
        <v>1558</v>
      </c>
    </row>
    <row r="765" spans="13:14" x14ac:dyDescent="0.25">
      <c r="M765" s="65" t="s">
        <v>1559</v>
      </c>
      <c r="N765" s="65" t="s">
        <v>1560</v>
      </c>
    </row>
    <row r="766" spans="13:14" x14ac:dyDescent="0.25">
      <c r="M766" s="65" t="s">
        <v>1561</v>
      </c>
      <c r="N766" s="65" t="s">
        <v>1562</v>
      </c>
    </row>
    <row r="767" spans="13:14" x14ac:dyDescent="0.25">
      <c r="M767" s="65" t="s">
        <v>1563</v>
      </c>
      <c r="N767" s="65" t="s">
        <v>1564</v>
      </c>
    </row>
    <row r="768" spans="13:14" x14ac:dyDescent="0.25">
      <c r="M768" s="65" t="s">
        <v>1565</v>
      </c>
      <c r="N768" s="65" t="s">
        <v>1566</v>
      </c>
    </row>
    <row r="769" spans="13:14" x14ac:dyDescent="0.25">
      <c r="M769" s="65" t="s">
        <v>1567</v>
      </c>
      <c r="N769" s="65" t="s">
        <v>1568</v>
      </c>
    </row>
    <row r="770" spans="13:14" x14ac:dyDescent="0.25">
      <c r="M770" s="65" t="s">
        <v>1569</v>
      </c>
      <c r="N770" s="65" t="s">
        <v>1570</v>
      </c>
    </row>
    <row r="771" spans="13:14" x14ac:dyDescent="0.25">
      <c r="M771" s="65" t="s">
        <v>1571</v>
      </c>
      <c r="N771" s="65" t="s">
        <v>1572</v>
      </c>
    </row>
    <row r="772" spans="13:14" x14ac:dyDescent="0.25">
      <c r="M772" s="65" t="s">
        <v>1573</v>
      </c>
      <c r="N772" s="65" t="s">
        <v>1574</v>
      </c>
    </row>
    <row r="773" spans="13:14" x14ac:dyDescent="0.25">
      <c r="M773" s="65" t="s">
        <v>1575</v>
      </c>
      <c r="N773" s="65" t="s">
        <v>1576</v>
      </c>
    </row>
    <row r="774" spans="13:14" x14ac:dyDescent="0.25">
      <c r="M774" s="65" t="s">
        <v>1577</v>
      </c>
      <c r="N774" s="65" t="s">
        <v>1578</v>
      </c>
    </row>
    <row r="775" spans="13:14" x14ac:dyDescent="0.25">
      <c r="M775" s="65" t="s">
        <v>1579</v>
      </c>
      <c r="N775" s="65" t="s">
        <v>1580</v>
      </c>
    </row>
    <row r="776" spans="13:14" x14ac:dyDescent="0.25">
      <c r="M776" s="65" t="s">
        <v>1581</v>
      </c>
      <c r="N776" s="65" t="s">
        <v>1582</v>
      </c>
    </row>
    <row r="777" spans="13:14" x14ac:dyDescent="0.25">
      <c r="M777" s="65" t="s">
        <v>1583</v>
      </c>
      <c r="N777" s="65" t="s">
        <v>1584</v>
      </c>
    </row>
    <row r="778" spans="13:14" x14ac:dyDescent="0.25">
      <c r="M778" s="65" t="s">
        <v>1585</v>
      </c>
      <c r="N778" s="65" t="s">
        <v>1586</v>
      </c>
    </row>
    <row r="779" spans="13:14" x14ac:dyDescent="0.25">
      <c r="M779" s="65" t="s">
        <v>1587</v>
      </c>
      <c r="N779" s="65" t="s">
        <v>1588</v>
      </c>
    </row>
    <row r="780" spans="13:14" x14ac:dyDescent="0.25">
      <c r="M780" s="65" t="s">
        <v>1589</v>
      </c>
      <c r="N780" s="65" t="s">
        <v>1590</v>
      </c>
    </row>
    <row r="781" spans="13:14" x14ac:dyDescent="0.25">
      <c r="M781" s="65" t="s">
        <v>1591</v>
      </c>
      <c r="N781" s="65" t="s">
        <v>1592</v>
      </c>
    </row>
    <row r="782" spans="13:14" x14ac:dyDescent="0.25">
      <c r="M782" s="65" t="s">
        <v>1593</v>
      </c>
      <c r="N782" s="65" t="s">
        <v>1594</v>
      </c>
    </row>
    <row r="783" spans="13:14" x14ac:dyDescent="0.25">
      <c r="M783" s="65" t="s">
        <v>1595</v>
      </c>
      <c r="N783" s="65" t="s">
        <v>1596</v>
      </c>
    </row>
    <row r="784" spans="13:14" x14ac:dyDescent="0.25">
      <c r="M784" s="65" t="s">
        <v>1597</v>
      </c>
      <c r="N784" s="65" t="s">
        <v>1598</v>
      </c>
    </row>
    <row r="785" spans="13:14" x14ac:dyDescent="0.25">
      <c r="M785" s="65" t="s">
        <v>1599</v>
      </c>
      <c r="N785" s="65" t="s">
        <v>1600</v>
      </c>
    </row>
    <row r="786" spans="13:14" x14ac:dyDescent="0.25">
      <c r="M786" s="65" t="s">
        <v>1601</v>
      </c>
      <c r="N786" s="65" t="s">
        <v>1602</v>
      </c>
    </row>
    <row r="787" spans="13:14" x14ac:dyDescent="0.25">
      <c r="M787" s="65" t="s">
        <v>1603</v>
      </c>
      <c r="N787" s="65" t="s">
        <v>1604</v>
      </c>
    </row>
    <row r="788" spans="13:14" x14ac:dyDescent="0.25">
      <c r="M788" s="65" t="s">
        <v>1605</v>
      </c>
      <c r="N788" s="65" t="s">
        <v>1606</v>
      </c>
    </row>
    <row r="789" spans="13:14" x14ac:dyDescent="0.25">
      <c r="M789" s="65" t="s">
        <v>1607</v>
      </c>
      <c r="N789" s="65" t="s">
        <v>1608</v>
      </c>
    </row>
    <row r="790" spans="13:14" x14ac:dyDescent="0.25">
      <c r="M790" s="65" t="s">
        <v>1609</v>
      </c>
      <c r="N790" s="65" t="s">
        <v>1610</v>
      </c>
    </row>
    <row r="791" spans="13:14" x14ac:dyDescent="0.25">
      <c r="M791" s="65" t="s">
        <v>1611</v>
      </c>
      <c r="N791" s="65" t="s">
        <v>1612</v>
      </c>
    </row>
    <row r="792" spans="13:14" x14ac:dyDescent="0.25">
      <c r="M792" s="65" t="s">
        <v>1613</v>
      </c>
      <c r="N792" s="65" t="s">
        <v>1614</v>
      </c>
    </row>
    <row r="793" spans="13:14" x14ac:dyDescent="0.25">
      <c r="M793" s="65" t="s">
        <v>1615</v>
      </c>
      <c r="N793" s="65" t="s">
        <v>1616</v>
      </c>
    </row>
    <row r="794" spans="13:14" x14ac:dyDescent="0.25">
      <c r="M794" s="65" t="s">
        <v>1617</v>
      </c>
      <c r="N794" s="65" t="s">
        <v>1618</v>
      </c>
    </row>
    <row r="795" spans="13:14" x14ac:dyDescent="0.25">
      <c r="M795" s="65" t="s">
        <v>1619</v>
      </c>
      <c r="N795" s="65" t="s">
        <v>1620</v>
      </c>
    </row>
    <row r="796" spans="13:14" x14ac:dyDescent="0.25">
      <c r="M796" s="65" t="s">
        <v>1621</v>
      </c>
      <c r="N796" s="65" t="s">
        <v>1622</v>
      </c>
    </row>
    <row r="797" spans="13:14" x14ac:dyDescent="0.25">
      <c r="M797" s="65" t="s">
        <v>1623</v>
      </c>
      <c r="N797" s="65" t="s">
        <v>1624</v>
      </c>
    </row>
    <row r="798" spans="13:14" x14ac:dyDescent="0.25">
      <c r="M798" s="65" t="s">
        <v>1625</v>
      </c>
      <c r="N798" s="65" t="s">
        <v>1626</v>
      </c>
    </row>
    <row r="799" spans="13:14" x14ac:dyDescent="0.25">
      <c r="M799" s="65" t="s">
        <v>1627</v>
      </c>
      <c r="N799" s="65" t="s">
        <v>1628</v>
      </c>
    </row>
    <row r="800" spans="13:14" x14ac:dyDescent="0.25">
      <c r="M800" s="65" t="s">
        <v>1629</v>
      </c>
      <c r="N800" s="65" t="s">
        <v>1630</v>
      </c>
    </row>
    <row r="801" spans="13:14" x14ac:dyDescent="0.25">
      <c r="M801" s="65" t="s">
        <v>1631</v>
      </c>
      <c r="N801" s="65" t="s">
        <v>1632</v>
      </c>
    </row>
    <row r="802" spans="13:14" x14ac:dyDescent="0.25">
      <c r="M802" s="65" t="s">
        <v>1633</v>
      </c>
      <c r="N802" s="65" t="s">
        <v>1634</v>
      </c>
    </row>
    <row r="803" spans="13:14" x14ac:dyDescent="0.25">
      <c r="M803" s="65" t="s">
        <v>1635</v>
      </c>
      <c r="N803" s="65" t="s">
        <v>1636</v>
      </c>
    </row>
    <row r="804" spans="13:14" x14ac:dyDescent="0.25">
      <c r="M804" s="65" t="s">
        <v>1637</v>
      </c>
      <c r="N804" s="65" t="s">
        <v>1638</v>
      </c>
    </row>
    <row r="805" spans="13:14" x14ac:dyDescent="0.25">
      <c r="M805" s="65" t="s">
        <v>1639</v>
      </c>
      <c r="N805" s="65" t="s">
        <v>1640</v>
      </c>
    </row>
    <row r="806" spans="13:14" x14ac:dyDescent="0.25">
      <c r="M806" s="65" t="s">
        <v>1641</v>
      </c>
      <c r="N806" s="65" t="s">
        <v>1642</v>
      </c>
    </row>
    <row r="807" spans="13:14" x14ac:dyDescent="0.25">
      <c r="M807" s="65" t="s">
        <v>1643</v>
      </c>
      <c r="N807" s="65" t="s">
        <v>1644</v>
      </c>
    </row>
    <row r="808" spans="13:14" x14ac:dyDescent="0.25">
      <c r="M808" s="65" t="s">
        <v>1645</v>
      </c>
      <c r="N808" s="65" t="s">
        <v>1646</v>
      </c>
    </row>
    <row r="809" spans="13:14" x14ac:dyDescent="0.25">
      <c r="M809" s="65" t="s">
        <v>1647</v>
      </c>
      <c r="N809" s="65" t="s">
        <v>1648</v>
      </c>
    </row>
    <row r="810" spans="13:14" x14ac:dyDescent="0.25">
      <c r="M810" s="65" t="s">
        <v>1649</v>
      </c>
      <c r="N810" s="65" t="s">
        <v>1650</v>
      </c>
    </row>
    <row r="811" spans="13:14" x14ac:dyDescent="0.25">
      <c r="M811" s="65" t="s">
        <v>1651</v>
      </c>
      <c r="N811" s="65" t="s">
        <v>1652</v>
      </c>
    </row>
    <row r="812" spans="13:14" x14ac:dyDescent="0.25">
      <c r="M812" s="65" t="s">
        <v>1653</v>
      </c>
      <c r="N812" s="65" t="s">
        <v>1654</v>
      </c>
    </row>
    <row r="813" spans="13:14" x14ac:dyDescent="0.25">
      <c r="M813" s="65" t="s">
        <v>1655</v>
      </c>
      <c r="N813" s="65" t="s">
        <v>1656</v>
      </c>
    </row>
    <row r="814" spans="13:14" x14ac:dyDescent="0.25">
      <c r="M814" s="65" t="s">
        <v>1657</v>
      </c>
      <c r="N814" s="65" t="s">
        <v>1658</v>
      </c>
    </row>
    <row r="815" spans="13:14" x14ac:dyDescent="0.25">
      <c r="M815" s="65" t="s">
        <v>1659</v>
      </c>
      <c r="N815" s="65" t="s">
        <v>1660</v>
      </c>
    </row>
    <row r="816" spans="13:14" x14ac:dyDescent="0.25">
      <c r="M816" s="65" t="s">
        <v>1661</v>
      </c>
      <c r="N816" s="65" t="s">
        <v>1662</v>
      </c>
    </row>
    <row r="817" spans="13:14" x14ac:dyDescent="0.25">
      <c r="M817" s="65" t="s">
        <v>1663</v>
      </c>
      <c r="N817" s="65" t="s">
        <v>1664</v>
      </c>
    </row>
    <row r="818" spans="13:14" x14ac:dyDescent="0.25">
      <c r="M818" s="65" t="s">
        <v>1665</v>
      </c>
      <c r="N818" s="65" t="s">
        <v>1666</v>
      </c>
    </row>
    <row r="819" spans="13:14" x14ac:dyDescent="0.25">
      <c r="M819" s="65" t="s">
        <v>1667</v>
      </c>
      <c r="N819" s="65" t="s">
        <v>1668</v>
      </c>
    </row>
    <row r="820" spans="13:14" x14ac:dyDescent="0.25">
      <c r="M820" s="65" t="s">
        <v>1669</v>
      </c>
      <c r="N820" s="65" t="s">
        <v>1670</v>
      </c>
    </row>
    <row r="821" spans="13:14" x14ac:dyDescent="0.25">
      <c r="M821" s="65" t="s">
        <v>1671</v>
      </c>
      <c r="N821" s="65" t="s">
        <v>1672</v>
      </c>
    </row>
    <row r="822" spans="13:14" x14ac:dyDescent="0.25">
      <c r="M822" s="65" t="s">
        <v>1673</v>
      </c>
      <c r="N822" s="65" t="s">
        <v>1674</v>
      </c>
    </row>
    <row r="823" spans="13:14" x14ac:dyDescent="0.25">
      <c r="M823" s="65" t="s">
        <v>1675</v>
      </c>
      <c r="N823" s="65" t="s">
        <v>1676</v>
      </c>
    </row>
    <row r="824" spans="13:14" x14ac:dyDescent="0.25">
      <c r="M824" s="65" t="s">
        <v>1677</v>
      </c>
      <c r="N824" s="65" t="s">
        <v>1678</v>
      </c>
    </row>
    <row r="825" spans="13:14" x14ac:dyDescent="0.25">
      <c r="M825" s="65" t="s">
        <v>1679</v>
      </c>
      <c r="N825" s="65" t="s">
        <v>1680</v>
      </c>
    </row>
    <row r="826" spans="13:14" x14ac:dyDescent="0.25">
      <c r="M826" s="65" t="s">
        <v>1681</v>
      </c>
      <c r="N826" s="65" t="s">
        <v>1682</v>
      </c>
    </row>
    <row r="827" spans="13:14" x14ac:dyDescent="0.25">
      <c r="M827" s="65" t="s">
        <v>1683</v>
      </c>
      <c r="N827" s="65" t="s">
        <v>1684</v>
      </c>
    </row>
    <row r="828" spans="13:14" x14ac:dyDescent="0.25">
      <c r="M828" s="65" t="s">
        <v>1685</v>
      </c>
      <c r="N828" s="65" t="s">
        <v>1686</v>
      </c>
    </row>
    <row r="829" spans="13:14" x14ac:dyDescent="0.25">
      <c r="M829" s="65" t="s">
        <v>1687</v>
      </c>
      <c r="N829" s="65" t="s">
        <v>1688</v>
      </c>
    </row>
    <row r="830" spans="13:14" x14ac:dyDescent="0.25">
      <c r="M830" s="65" t="s">
        <v>1689</v>
      </c>
      <c r="N830" s="65" t="s">
        <v>1690</v>
      </c>
    </row>
    <row r="831" spans="13:14" x14ac:dyDescent="0.25">
      <c r="M831" s="65" t="s">
        <v>1691</v>
      </c>
      <c r="N831" s="65" t="s">
        <v>1692</v>
      </c>
    </row>
    <row r="832" spans="13:14" x14ac:dyDescent="0.25">
      <c r="M832" s="65" t="s">
        <v>1693</v>
      </c>
      <c r="N832" s="65" t="s">
        <v>1694</v>
      </c>
    </row>
    <row r="833" spans="13:14" x14ac:dyDescent="0.25">
      <c r="M833" s="65" t="s">
        <v>1695</v>
      </c>
      <c r="N833" s="65" t="s">
        <v>1696</v>
      </c>
    </row>
    <row r="834" spans="13:14" x14ac:dyDescent="0.25">
      <c r="M834" s="65" t="s">
        <v>1697</v>
      </c>
      <c r="N834" s="65" t="s">
        <v>1698</v>
      </c>
    </row>
    <row r="835" spans="13:14" x14ac:dyDescent="0.25">
      <c r="M835" s="65" t="s">
        <v>1699</v>
      </c>
      <c r="N835" s="65" t="s">
        <v>1700</v>
      </c>
    </row>
    <row r="836" spans="13:14" x14ac:dyDescent="0.25">
      <c r="M836" s="65" t="s">
        <v>1701</v>
      </c>
      <c r="N836" s="65" t="s">
        <v>1702</v>
      </c>
    </row>
    <row r="837" spans="13:14" x14ac:dyDescent="0.25">
      <c r="M837" s="65" t="s">
        <v>1703</v>
      </c>
      <c r="N837" s="65" t="s">
        <v>1704</v>
      </c>
    </row>
    <row r="838" spans="13:14" x14ac:dyDescent="0.25">
      <c r="M838" s="65" t="s">
        <v>1705</v>
      </c>
      <c r="N838" s="65" t="s">
        <v>1706</v>
      </c>
    </row>
    <row r="839" spans="13:14" x14ac:dyDescent="0.25">
      <c r="M839" s="65" t="s">
        <v>1707</v>
      </c>
      <c r="N839" s="65" t="s">
        <v>1708</v>
      </c>
    </row>
    <row r="840" spans="13:14" x14ac:dyDescent="0.25">
      <c r="M840" s="65" t="s">
        <v>1709</v>
      </c>
      <c r="N840" s="65" t="s">
        <v>1710</v>
      </c>
    </row>
    <row r="841" spans="13:14" x14ac:dyDescent="0.25">
      <c r="M841" s="65" t="s">
        <v>1711</v>
      </c>
      <c r="N841" s="65" t="s">
        <v>1712</v>
      </c>
    </row>
    <row r="842" spans="13:14" x14ac:dyDescent="0.25">
      <c r="M842" s="65" t="s">
        <v>1713</v>
      </c>
      <c r="N842" s="65" t="s">
        <v>1714</v>
      </c>
    </row>
    <row r="843" spans="13:14" x14ac:dyDescent="0.25">
      <c r="M843" s="65" t="s">
        <v>1715</v>
      </c>
      <c r="N843" s="65" t="s">
        <v>1716</v>
      </c>
    </row>
    <row r="844" spans="13:14" x14ac:dyDescent="0.25">
      <c r="M844" s="65" t="s">
        <v>1717</v>
      </c>
      <c r="N844" s="65" t="s">
        <v>1718</v>
      </c>
    </row>
    <row r="845" spans="13:14" x14ac:dyDescent="0.25">
      <c r="M845" s="65" t="s">
        <v>1719</v>
      </c>
      <c r="N845" s="65" t="s">
        <v>1720</v>
      </c>
    </row>
    <row r="846" spans="13:14" x14ac:dyDescent="0.25">
      <c r="M846" s="65" t="s">
        <v>1721</v>
      </c>
      <c r="N846" s="65" t="s">
        <v>1722</v>
      </c>
    </row>
    <row r="847" spans="13:14" x14ac:dyDescent="0.25">
      <c r="M847" s="65" t="s">
        <v>1723</v>
      </c>
      <c r="N847" s="65" t="s">
        <v>1724</v>
      </c>
    </row>
    <row r="848" spans="13:14" x14ac:dyDescent="0.25">
      <c r="M848" s="65" t="s">
        <v>1725</v>
      </c>
      <c r="N848" s="65" t="s">
        <v>1726</v>
      </c>
    </row>
    <row r="849" spans="13:14" x14ac:dyDescent="0.25">
      <c r="M849" s="65" t="s">
        <v>1727</v>
      </c>
      <c r="N849" s="65" t="s">
        <v>1728</v>
      </c>
    </row>
    <row r="850" spans="13:14" x14ac:dyDescent="0.25">
      <c r="M850" s="65" t="s">
        <v>1729</v>
      </c>
      <c r="N850" s="65" t="s">
        <v>1730</v>
      </c>
    </row>
    <row r="851" spans="13:14" x14ac:dyDescent="0.25">
      <c r="M851" s="65" t="s">
        <v>1731</v>
      </c>
      <c r="N851" s="65" t="s">
        <v>1732</v>
      </c>
    </row>
    <row r="852" spans="13:14" x14ac:dyDescent="0.25">
      <c r="M852" s="65" t="s">
        <v>1733</v>
      </c>
      <c r="N852" s="65" t="s">
        <v>1734</v>
      </c>
    </row>
    <row r="853" spans="13:14" x14ac:dyDescent="0.25">
      <c r="M853" s="65" t="s">
        <v>1735</v>
      </c>
      <c r="N853" s="65" t="s">
        <v>1736</v>
      </c>
    </row>
    <row r="854" spans="13:14" x14ac:dyDescent="0.25">
      <c r="M854" s="65" t="s">
        <v>1737</v>
      </c>
      <c r="N854" s="65" t="s">
        <v>1738</v>
      </c>
    </row>
    <row r="855" spans="13:14" x14ac:dyDescent="0.25">
      <c r="M855" s="65" t="s">
        <v>1739</v>
      </c>
      <c r="N855" s="65" t="s">
        <v>1740</v>
      </c>
    </row>
    <row r="856" spans="13:14" x14ac:dyDescent="0.25">
      <c r="M856" s="65" t="s">
        <v>1741</v>
      </c>
      <c r="N856" s="65" t="s">
        <v>1742</v>
      </c>
    </row>
    <row r="857" spans="13:14" x14ac:dyDescent="0.25">
      <c r="M857" s="65" t="s">
        <v>1743</v>
      </c>
      <c r="N857" s="65" t="s">
        <v>1744</v>
      </c>
    </row>
    <row r="858" spans="13:14" x14ac:dyDescent="0.25">
      <c r="M858" s="65" t="s">
        <v>1745</v>
      </c>
      <c r="N858" s="65" t="s">
        <v>1746</v>
      </c>
    </row>
    <row r="859" spans="13:14" x14ac:dyDescent="0.25">
      <c r="M859" s="65" t="s">
        <v>1747</v>
      </c>
      <c r="N859" s="65" t="s">
        <v>1748</v>
      </c>
    </row>
    <row r="860" spans="13:14" x14ac:dyDescent="0.25">
      <c r="M860" s="65" t="s">
        <v>1749</v>
      </c>
      <c r="N860" s="65" t="s">
        <v>1750</v>
      </c>
    </row>
    <row r="861" spans="13:14" x14ac:dyDescent="0.25">
      <c r="M861" s="65" t="s">
        <v>1751</v>
      </c>
      <c r="N861" s="65" t="s">
        <v>1752</v>
      </c>
    </row>
    <row r="862" spans="13:14" x14ac:dyDescent="0.25">
      <c r="M862" s="65" t="s">
        <v>1753</v>
      </c>
      <c r="N862" s="65" t="s">
        <v>1754</v>
      </c>
    </row>
    <row r="863" spans="13:14" x14ac:dyDescent="0.25">
      <c r="M863" s="65" t="s">
        <v>1755</v>
      </c>
      <c r="N863" s="65" t="s">
        <v>1756</v>
      </c>
    </row>
    <row r="864" spans="13:14" x14ac:dyDescent="0.25">
      <c r="M864" s="65" t="s">
        <v>1757</v>
      </c>
      <c r="N864" s="65" t="s">
        <v>1758</v>
      </c>
    </row>
    <row r="865" spans="13:14" x14ac:dyDescent="0.25">
      <c r="M865" s="65" t="s">
        <v>1759</v>
      </c>
      <c r="N865" s="65" t="s">
        <v>1760</v>
      </c>
    </row>
    <row r="866" spans="13:14" x14ac:dyDescent="0.25">
      <c r="M866" s="65" t="s">
        <v>1761</v>
      </c>
      <c r="N866" s="65" t="s">
        <v>1762</v>
      </c>
    </row>
    <row r="867" spans="13:14" x14ac:dyDescent="0.25">
      <c r="M867" s="65" t="s">
        <v>1763</v>
      </c>
      <c r="N867" s="65" t="s">
        <v>1764</v>
      </c>
    </row>
    <row r="868" spans="13:14" x14ac:dyDescent="0.25">
      <c r="M868" s="65" t="s">
        <v>1765</v>
      </c>
      <c r="N868" s="65" t="s">
        <v>1766</v>
      </c>
    </row>
    <row r="869" spans="13:14" x14ac:dyDescent="0.25">
      <c r="M869" s="65" t="s">
        <v>1767</v>
      </c>
      <c r="N869" s="65" t="s">
        <v>1768</v>
      </c>
    </row>
    <row r="870" spans="13:14" x14ac:dyDescent="0.25">
      <c r="M870" s="65" t="s">
        <v>1769</v>
      </c>
      <c r="N870" s="65" t="s">
        <v>1770</v>
      </c>
    </row>
    <row r="871" spans="13:14" x14ac:dyDescent="0.25">
      <c r="M871" s="65" t="s">
        <v>1771</v>
      </c>
      <c r="N871" s="65" t="s">
        <v>1772</v>
      </c>
    </row>
    <row r="872" spans="13:14" x14ac:dyDescent="0.25">
      <c r="M872" s="65" t="s">
        <v>1773</v>
      </c>
      <c r="N872" s="65" t="s">
        <v>1774</v>
      </c>
    </row>
    <row r="873" spans="13:14" x14ac:dyDescent="0.25">
      <c r="M873" s="65" t="s">
        <v>1775</v>
      </c>
      <c r="N873" s="65" t="s">
        <v>1776</v>
      </c>
    </row>
    <row r="874" spans="13:14" x14ac:dyDescent="0.25">
      <c r="M874" s="65" t="s">
        <v>1777</v>
      </c>
      <c r="N874" s="65" t="s">
        <v>1778</v>
      </c>
    </row>
    <row r="875" spans="13:14" x14ac:dyDescent="0.25">
      <c r="M875" s="65" t="s">
        <v>1779</v>
      </c>
      <c r="N875" s="65" t="s">
        <v>1780</v>
      </c>
    </row>
    <row r="876" spans="13:14" x14ac:dyDescent="0.25">
      <c r="M876" s="65" t="s">
        <v>1781</v>
      </c>
      <c r="N876" s="65" t="s">
        <v>1782</v>
      </c>
    </row>
    <row r="877" spans="13:14" x14ac:dyDescent="0.25">
      <c r="M877" s="65" t="s">
        <v>1783</v>
      </c>
      <c r="N877" s="65" t="s">
        <v>1784</v>
      </c>
    </row>
    <row r="878" spans="13:14" x14ac:dyDescent="0.25">
      <c r="M878" s="65" t="s">
        <v>1785</v>
      </c>
      <c r="N878" s="65" t="s">
        <v>1786</v>
      </c>
    </row>
    <row r="879" spans="13:14" x14ac:dyDescent="0.25">
      <c r="M879" s="65" t="s">
        <v>1787</v>
      </c>
      <c r="N879" s="65" t="s">
        <v>1788</v>
      </c>
    </row>
    <row r="880" spans="13:14" x14ac:dyDescent="0.25">
      <c r="M880" s="65" t="s">
        <v>1789</v>
      </c>
      <c r="N880" s="65" t="s">
        <v>1790</v>
      </c>
    </row>
    <row r="881" spans="13:14" x14ac:dyDescent="0.25">
      <c r="M881" s="65" t="s">
        <v>1791</v>
      </c>
      <c r="N881" s="65" t="s">
        <v>1792</v>
      </c>
    </row>
    <row r="882" spans="13:14" x14ac:dyDescent="0.25">
      <c r="M882" s="65" t="s">
        <v>1793</v>
      </c>
      <c r="N882" s="65" t="s">
        <v>1794</v>
      </c>
    </row>
    <row r="883" spans="13:14" x14ac:dyDescent="0.25">
      <c r="M883" s="65" t="s">
        <v>1795</v>
      </c>
      <c r="N883" s="65" t="s">
        <v>1796</v>
      </c>
    </row>
    <row r="884" spans="13:14" x14ac:dyDescent="0.25">
      <c r="M884" s="65" t="s">
        <v>1797</v>
      </c>
      <c r="N884" s="65" t="s">
        <v>1798</v>
      </c>
    </row>
    <row r="885" spans="13:14" x14ac:dyDescent="0.25">
      <c r="M885" s="65" t="s">
        <v>1799</v>
      </c>
      <c r="N885" s="65" t="s">
        <v>1800</v>
      </c>
    </row>
    <row r="886" spans="13:14" x14ac:dyDescent="0.25">
      <c r="M886" s="65" t="s">
        <v>1801</v>
      </c>
      <c r="N886" s="65" t="s">
        <v>1802</v>
      </c>
    </row>
    <row r="887" spans="13:14" x14ac:dyDescent="0.25">
      <c r="M887" s="65" t="s">
        <v>1803</v>
      </c>
      <c r="N887" s="65" t="s">
        <v>1804</v>
      </c>
    </row>
    <row r="888" spans="13:14" x14ac:dyDescent="0.25">
      <c r="M888" s="65" t="s">
        <v>1805</v>
      </c>
      <c r="N888" s="65" t="s">
        <v>1806</v>
      </c>
    </row>
    <row r="889" spans="13:14" x14ac:dyDescent="0.25">
      <c r="M889" s="65" t="s">
        <v>1807</v>
      </c>
      <c r="N889" s="65" t="s">
        <v>1808</v>
      </c>
    </row>
    <row r="890" spans="13:14" x14ac:dyDescent="0.25">
      <c r="M890" s="65" t="s">
        <v>1809</v>
      </c>
      <c r="N890" s="65" t="s">
        <v>1810</v>
      </c>
    </row>
    <row r="891" spans="13:14" x14ac:dyDescent="0.25">
      <c r="M891" s="65" t="s">
        <v>1811</v>
      </c>
      <c r="N891" s="65" t="s">
        <v>1812</v>
      </c>
    </row>
    <row r="892" spans="13:14" x14ac:dyDescent="0.25">
      <c r="M892" s="65" t="s">
        <v>1813</v>
      </c>
      <c r="N892" s="65" t="s">
        <v>1814</v>
      </c>
    </row>
    <row r="893" spans="13:14" x14ac:dyDescent="0.25">
      <c r="M893" s="65" t="s">
        <v>1815</v>
      </c>
      <c r="N893" s="65" t="s">
        <v>1816</v>
      </c>
    </row>
    <row r="894" spans="13:14" x14ac:dyDescent="0.25">
      <c r="M894" s="65" t="s">
        <v>1817</v>
      </c>
      <c r="N894" s="65" t="s">
        <v>1818</v>
      </c>
    </row>
    <row r="895" spans="13:14" x14ac:dyDescent="0.25">
      <c r="M895" s="65" t="s">
        <v>1819</v>
      </c>
      <c r="N895" s="65" t="s">
        <v>1820</v>
      </c>
    </row>
    <row r="896" spans="13:14" x14ac:dyDescent="0.25">
      <c r="M896" s="65" t="s">
        <v>1821</v>
      </c>
      <c r="N896" s="65" t="s">
        <v>1822</v>
      </c>
    </row>
    <row r="897" spans="13:14" x14ac:dyDescent="0.25">
      <c r="M897" s="65" t="s">
        <v>1823</v>
      </c>
      <c r="N897" s="65" t="s">
        <v>1824</v>
      </c>
    </row>
    <row r="898" spans="13:14" x14ac:dyDescent="0.25">
      <c r="M898" s="65" t="s">
        <v>1825</v>
      </c>
      <c r="N898" s="65" t="s">
        <v>1826</v>
      </c>
    </row>
    <row r="899" spans="13:14" x14ac:dyDescent="0.25">
      <c r="M899" s="65" t="s">
        <v>1827</v>
      </c>
      <c r="N899" s="65" t="s">
        <v>1828</v>
      </c>
    </row>
    <row r="900" spans="13:14" x14ac:dyDescent="0.25">
      <c r="M900" s="65" t="s">
        <v>1829</v>
      </c>
      <c r="N900" s="65" t="s">
        <v>1830</v>
      </c>
    </row>
    <row r="901" spans="13:14" x14ac:dyDescent="0.25">
      <c r="M901" s="65" t="s">
        <v>1831</v>
      </c>
      <c r="N901" s="65" t="s">
        <v>1832</v>
      </c>
    </row>
    <row r="902" spans="13:14" x14ac:dyDescent="0.25">
      <c r="M902" s="65" t="s">
        <v>1833</v>
      </c>
      <c r="N902" s="65" t="s">
        <v>1834</v>
      </c>
    </row>
    <row r="903" spans="13:14" x14ac:dyDescent="0.25">
      <c r="M903" s="65" t="s">
        <v>1835</v>
      </c>
      <c r="N903" s="65" t="s">
        <v>1836</v>
      </c>
    </row>
    <row r="904" spans="13:14" x14ac:dyDescent="0.25">
      <c r="M904" s="65" t="s">
        <v>1837</v>
      </c>
      <c r="N904" s="65" t="s">
        <v>1838</v>
      </c>
    </row>
    <row r="905" spans="13:14" x14ac:dyDescent="0.25">
      <c r="M905" s="65" t="s">
        <v>1839</v>
      </c>
      <c r="N905" s="65" t="s">
        <v>1840</v>
      </c>
    </row>
    <row r="906" spans="13:14" x14ac:dyDescent="0.25">
      <c r="M906" s="65" t="s">
        <v>1841</v>
      </c>
      <c r="N906" s="65" t="s">
        <v>1842</v>
      </c>
    </row>
    <row r="907" spans="13:14" x14ac:dyDescent="0.25">
      <c r="M907" s="65" t="s">
        <v>1843</v>
      </c>
      <c r="N907" s="65" t="s">
        <v>1844</v>
      </c>
    </row>
    <row r="908" spans="13:14" x14ac:dyDescent="0.25">
      <c r="M908" s="65" t="s">
        <v>1845</v>
      </c>
      <c r="N908" s="65" t="s">
        <v>1846</v>
      </c>
    </row>
    <row r="909" spans="13:14" x14ac:dyDescent="0.25">
      <c r="M909" s="65" t="s">
        <v>1847</v>
      </c>
      <c r="N909" s="65" t="s">
        <v>1848</v>
      </c>
    </row>
    <row r="910" spans="13:14" x14ac:dyDescent="0.25">
      <c r="M910" s="65" t="s">
        <v>1849</v>
      </c>
      <c r="N910" s="65" t="s">
        <v>1850</v>
      </c>
    </row>
    <row r="911" spans="13:14" x14ac:dyDescent="0.25">
      <c r="M911" s="65" t="s">
        <v>1851</v>
      </c>
      <c r="N911" s="65" t="s">
        <v>1852</v>
      </c>
    </row>
    <row r="912" spans="13:14" x14ac:dyDescent="0.25">
      <c r="M912" s="65" t="s">
        <v>1853</v>
      </c>
      <c r="N912" s="65" t="s">
        <v>1854</v>
      </c>
    </row>
    <row r="913" spans="13:14" x14ac:dyDescent="0.25">
      <c r="M913" s="65" t="s">
        <v>1855</v>
      </c>
      <c r="N913" s="65" t="s">
        <v>1856</v>
      </c>
    </row>
    <row r="914" spans="13:14" x14ac:dyDescent="0.25">
      <c r="M914" s="65" t="s">
        <v>1857</v>
      </c>
      <c r="N914" s="65" t="s">
        <v>1858</v>
      </c>
    </row>
    <row r="915" spans="13:14" x14ac:dyDescent="0.25">
      <c r="M915" s="65" t="s">
        <v>1859</v>
      </c>
      <c r="N915" s="65" t="s">
        <v>1860</v>
      </c>
    </row>
    <row r="916" spans="13:14" x14ac:dyDescent="0.25">
      <c r="M916" s="65" t="s">
        <v>1861</v>
      </c>
      <c r="N916" s="65" t="s">
        <v>1862</v>
      </c>
    </row>
    <row r="917" spans="13:14" x14ac:dyDescent="0.25">
      <c r="M917" s="65" t="s">
        <v>1863</v>
      </c>
      <c r="N917" s="65" t="s">
        <v>1864</v>
      </c>
    </row>
    <row r="918" spans="13:14" x14ac:dyDescent="0.25">
      <c r="M918" s="65" t="s">
        <v>1865</v>
      </c>
      <c r="N918" s="65" t="s">
        <v>1866</v>
      </c>
    </row>
    <row r="919" spans="13:14" x14ac:dyDescent="0.25">
      <c r="M919" s="65" t="s">
        <v>1867</v>
      </c>
      <c r="N919" s="65" t="s">
        <v>1868</v>
      </c>
    </row>
    <row r="920" spans="13:14" x14ac:dyDescent="0.25">
      <c r="M920" s="65" t="s">
        <v>1869</v>
      </c>
      <c r="N920" s="65" t="s">
        <v>1870</v>
      </c>
    </row>
    <row r="921" spans="13:14" x14ac:dyDescent="0.25">
      <c r="M921" s="65" t="s">
        <v>1871</v>
      </c>
      <c r="N921" s="65" t="s">
        <v>1872</v>
      </c>
    </row>
    <row r="922" spans="13:14" x14ac:dyDescent="0.25">
      <c r="M922" s="65" t="s">
        <v>1873</v>
      </c>
      <c r="N922" s="65" t="s">
        <v>1874</v>
      </c>
    </row>
    <row r="923" spans="13:14" x14ac:dyDescent="0.25">
      <c r="M923" s="65" t="s">
        <v>1875</v>
      </c>
      <c r="N923" s="65" t="s">
        <v>1876</v>
      </c>
    </row>
    <row r="924" spans="13:14" x14ac:dyDescent="0.25">
      <c r="M924" s="65" t="s">
        <v>1877</v>
      </c>
      <c r="N924" s="65" t="s">
        <v>1878</v>
      </c>
    </row>
    <row r="925" spans="13:14" x14ac:dyDescent="0.25">
      <c r="M925" s="65" t="s">
        <v>1879</v>
      </c>
      <c r="N925" s="65" t="s">
        <v>1880</v>
      </c>
    </row>
    <row r="926" spans="13:14" x14ac:dyDescent="0.25">
      <c r="M926" s="65" t="s">
        <v>1881</v>
      </c>
      <c r="N926" s="65" t="s">
        <v>1882</v>
      </c>
    </row>
    <row r="927" spans="13:14" x14ac:dyDescent="0.25">
      <c r="M927" s="65" t="s">
        <v>1883</v>
      </c>
      <c r="N927" s="65" t="s">
        <v>1884</v>
      </c>
    </row>
    <row r="928" spans="13:14" x14ac:dyDescent="0.25">
      <c r="M928" s="65" t="s">
        <v>1885</v>
      </c>
      <c r="N928" s="65" t="s">
        <v>1886</v>
      </c>
    </row>
    <row r="929" spans="13:14" x14ac:dyDescent="0.25">
      <c r="M929" s="65" t="s">
        <v>1887</v>
      </c>
      <c r="N929" s="65" t="s">
        <v>1888</v>
      </c>
    </row>
    <row r="930" spans="13:14" x14ac:dyDescent="0.25">
      <c r="M930" s="65" t="s">
        <v>1889</v>
      </c>
      <c r="N930" s="65" t="s">
        <v>1890</v>
      </c>
    </row>
    <row r="931" spans="13:14" x14ac:dyDescent="0.25">
      <c r="M931" s="65" t="s">
        <v>1891</v>
      </c>
      <c r="N931" s="65" t="s">
        <v>1892</v>
      </c>
    </row>
    <row r="932" spans="13:14" x14ac:dyDescent="0.25">
      <c r="M932" s="65" t="s">
        <v>1893</v>
      </c>
      <c r="N932" s="65" t="s">
        <v>1894</v>
      </c>
    </row>
    <row r="933" spans="13:14" x14ac:dyDescent="0.25">
      <c r="M933" s="65" t="s">
        <v>1895</v>
      </c>
      <c r="N933" s="65" t="s">
        <v>1896</v>
      </c>
    </row>
    <row r="934" spans="13:14" x14ac:dyDescent="0.25">
      <c r="M934" s="65" t="s">
        <v>1897</v>
      </c>
      <c r="N934" s="65" t="s">
        <v>1898</v>
      </c>
    </row>
    <row r="935" spans="13:14" x14ac:dyDescent="0.25">
      <c r="M935" s="65" t="s">
        <v>1899</v>
      </c>
      <c r="N935" s="65" t="s">
        <v>1900</v>
      </c>
    </row>
    <row r="936" spans="13:14" x14ac:dyDescent="0.25">
      <c r="M936" s="65" t="s">
        <v>1901</v>
      </c>
      <c r="N936" s="65" t="s">
        <v>1902</v>
      </c>
    </row>
    <row r="937" spans="13:14" x14ac:dyDescent="0.25">
      <c r="M937" s="65" t="s">
        <v>1903</v>
      </c>
      <c r="N937" s="65" t="s">
        <v>1904</v>
      </c>
    </row>
    <row r="938" spans="13:14" x14ac:dyDescent="0.25">
      <c r="M938" s="65" t="s">
        <v>1905</v>
      </c>
      <c r="N938" s="65" t="s">
        <v>1906</v>
      </c>
    </row>
    <row r="939" spans="13:14" x14ac:dyDescent="0.25">
      <c r="M939" s="65" t="s">
        <v>1907</v>
      </c>
      <c r="N939" s="65" t="s">
        <v>1908</v>
      </c>
    </row>
    <row r="940" spans="13:14" x14ac:dyDescent="0.25">
      <c r="M940" s="65" t="s">
        <v>1909</v>
      </c>
      <c r="N940" s="65" t="s">
        <v>1910</v>
      </c>
    </row>
    <row r="941" spans="13:14" x14ac:dyDescent="0.25">
      <c r="M941" s="65" t="s">
        <v>1911</v>
      </c>
      <c r="N941" s="65" t="s">
        <v>1912</v>
      </c>
    </row>
    <row r="942" spans="13:14" x14ac:dyDescent="0.25">
      <c r="M942" s="65" t="s">
        <v>1913</v>
      </c>
      <c r="N942" s="65" t="s">
        <v>1914</v>
      </c>
    </row>
    <row r="943" spans="13:14" x14ac:dyDescent="0.25">
      <c r="M943" s="65" t="s">
        <v>1915</v>
      </c>
      <c r="N943" s="65" t="s">
        <v>1916</v>
      </c>
    </row>
    <row r="944" spans="13:14" x14ac:dyDescent="0.25">
      <c r="M944" s="65" t="s">
        <v>1917</v>
      </c>
      <c r="N944" s="65" t="s">
        <v>1918</v>
      </c>
    </row>
    <row r="945" spans="13:14" x14ac:dyDescent="0.25">
      <c r="M945" s="65" t="s">
        <v>1919</v>
      </c>
      <c r="N945" s="65" t="s">
        <v>1920</v>
      </c>
    </row>
    <row r="946" spans="13:14" x14ac:dyDescent="0.25">
      <c r="M946" s="65" t="s">
        <v>1921</v>
      </c>
      <c r="N946" s="65" t="s">
        <v>1922</v>
      </c>
    </row>
    <row r="947" spans="13:14" x14ac:dyDescent="0.25">
      <c r="M947" s="65" t="s">
        <v>1923</v>
      </c>
      <c r="N947" s="65" t="s">
        <v>1924</v>
      </c>
    </row>
    <row r="948" spans="13:14" x14ac:dyDescent="0.25">
      <c r="M948" s="65" t="s">
        <v>1925</v>
      </c>
      <c r="N948" s="65" t="s">
        <v>1926</v>
      </c>
    </row>
    <row r="949" spans="13:14" x14ac:dyDescent="0.25">
      <c r="M949" s="65" t="s">
        <v>1927</v>
      </c>
      <c r="N949" s="65" t="s">
        <v>1928</v>
      </c>
    </row>
    <row r="950" spans="13:14" x14ac:dyDescent="0.25">
      <c r="M950" s="65" t="s">
        <v>1929</v>
      </c>
      <c r="N950" s="65" t="s">
        <v>1930</v>
      </c>
    </row>
    <row r="951" spans="13:14" x14ac:dyDescent="0.25">
      <c r="M951" s="65" t="s">
        <v>1931</v>
      </c>
      <c r="N951" s="65" t="s">
        <v>1932</v>
      </c>
    </row>
    <row r="952" spans="13:14" x14ac:dyDescent="0.25">
      <c r="M952" s="65" t="s">
        <v>1933</v>
      </c>
      <c r="N952" s="65" t="s">
        <v>1934</v>
      </c>
    </row>
    <row r="953" spans="13:14" x14ac:dyDescent="0.25">
      <c r="M953" s="65" t="s">
        <v>1935</v>
      </c>
      <c r="N953" s="65" t="s">
        <v>1936</v>
      </c>
    </row>
    <row r="954" spans="13:14" x14ac:dyDescent="0.25">
      <c r="M954" s="65" t="s">
        <v>1937</v>
      </c>
      <c r="N954" s="65" t="s">
        <v>1938</v>
      </c>
    </row>
    <row r="955" spans="13:14" x14ac:dyDescent="0.25">
      <c r="M955" s="65" t="s">
        <v>1939</v>
      </c>
      <c r="N955" s="65" t="s">
        <v>1940</v>
      </c>
    </row>
    <row r="956" spans="13:14" x14ac:dyDescent="0.25">
      <c r="M956" s="65" t="s">
        <v>1941</v>
      </c>
      <c r="N956" s="65" t="s">
        <v>1942</v>
      </c>
    </row>
    <row r="957" spans="13:14" x14ac:dyDescent="0.25">
      <c r="M957" s="65" t="s">
        <v>1943</v>
      </c>
      <c r="N957" s="65" t="s">
        <v>1944</v>
      </c>
    </row>
    <row r="958" spans="13:14" x14ac:dyDescent="0.25">
      <c r="M958" s="65" t="s">
        <v>1945</v>
      </c>
      <c r="N958" s="65" t="s">
        <v>1946</v>
      </c>
    </row>
    <row r="959" spans="13:14" x14ac:dyDescent="0.25">
      <c r="M959" s="65" t="s">
        <v>1947</v>
      </c>
      <c r="N959" s="65" t="s">
        <v>1948</v>
      </c>
    </row>
    <row r="960" spans="13:14" x14ac:dyDescent="0.25">
      <c r="M960" s="65" t="s">
        <v>1949</v>
      </c>
      <c r="N960" s="65" t="s">
        <v>1950</v>
      </c>
    </row>
    <row r="961" spans="13:14" x14ac:dyDescent="0.25">
      <c r="M961" s="65" t="s">
        <v>1951</v>
      </c>
      <c r="N961" s="65" t="s">
        <v>1952</v>
      </c>
    </row>
    <row r="962" spans="13:14" x14ac:dyDescent="0.25">
      <c r="M962" s="65" t="s">
        <v>1953</v>
      </c>
      <c r="N962" s="65" t="s">
        <v>1954</v>
      </c>
    </row>
    <row r="963" spans="13:14" x14ac:dyDescent="0.25">
      <c r="M963" s="65" t="s">
        <v>1955</v>
      </c>
      <c r="N963" s="65" t="s">
        <v>1956</v>
      </c>
    </row>
    <row r="964" spans="13:14" x14ac:dyDescent="0.25">
      <c r="M964" s="65" t="s">
        <v>1957</v>
      </c>
      <c r="N964" s="65" t="s">
        <v>1958</v>
      </c>
    </row>
    <row r="965" spans="13:14" x14ac:dyDescent="0.25">
      <c r="M965" s="65" t="s">
        <v>1959</v>
      </c>
      <c r="N965" s="65" t="s">
        <v>1960</v>
      </c>
    </row>
    <row r="966" spans="13:14" x14ac:dyDescent="0.25">
      <c r="M966" s="65" t="s">
        <v>1961</v>
      </c>
      <c r="N966" s="65" t="s">
        <v>1962</v>
      </c>
    </row>
    <row r="967" spans="13:14" x14ac:dyDescent="0.25">
      <c r="M967" s="65" t="s">
        <v>1963</v>
      </c>
      <c r="N967" s="65" t="s">
        <v>1964</v>
      </c>
    </row>
    <row r="968" spans="13:14" x14ac:dyDescent="0.25">
      <c r="M968" s="65" t="s">
        <v>1965</v>
      </c>
      <c r="N968" s="65" t="s">
        <v>1966</v>
      </c>
    </row>
    <row r="969" spans="13:14" x14ac:dyDescent="0.25">
      <c r="M969" s="65" t="s">
        <v>1967</v>
      </c>
      <c r="N969" s="65" t="s">
        <v>1968</v>
      </c>
    </row>
    <row r="970" spans="13:14" x14ac:dyDescent="0.25">
      <c r="M970" s="65" t="s">
        <v>1969</v>
      </c>
      <c r="N970" s="65" t="s">
        <v>1970</v>
      </c>
    </row>
    <row r="971" spans="13:14" x14ac:dyDescent="0.25">
      <c r="M971" s="65" t="s">
        <v>1971</v>
      </c>
      <c r="N971" s="65" t="s">
        <v>1972</v>
      </c>
    </row>
    <row r="972" spans="13:14" x14ac:dyDescent="0.25">
      <c r="M972" s="65" t="s">
        <v>1973</v>
      </c>
      <c r="N972" s="65" t="s">
        <v>1974</v>
      </c>
    </row>
    <row r="973" spans="13:14" x14ac:dyDescent="0.25">
      <c r="M973" s="65" t="s">
        <v>1975</v>
      </c>
      <c r="N973" s="65" t="s">
        <v>1976</v>
      </c>
    </row>
    <row r="974" spans="13:14" x14ac:dyDescent="0.25">
      <c r="M974" s="65" t="s">
        <v>1977</v>
      </c>
      <c r="N974" s="65" t="s">
        <v>1978</v>
      </c>
    </row>
    <row r="975" spans="13:14" x14ac:dyDescent="0.25">
      <c r="M975" s="65" t="s">
        <v>1979</v>
      </c>
      <c r="N975" s="65" t="s">
        <v>1980</v>
      </c>
    </row>
    <row r="976" spans="13:14" x14ac:dyDescent="0.25">
      <c r="M976" s="65" t="s">
        <v>1981</v>
      </c>
      <c r="N976" s="65" t="s">
        <v>1982</v>
      </c>
    </row>
    <row r="977" spans="13:14" x14ac:dyDescent="0.25">
      <c r="M977" s="65" t="s">
        <v>1983</v>
      </c>
      <c r="N977" s="65" t="s">
        <v>1984</v>
      </c>
    </row>
    <row r="978" spans="13:14" x14ac:dyDescent="0.25">
      <c r="M978" s="65" t="s">
        <v>1985</v>
      </c>
      <c r="N978" s="65" t="s">
        <v>1986</v>
      </c>
    </row>
    <row r="979" spans="13:14" x14ac:dyDescent="0.25">
      <c r="M979" s="65" t="s">
        <v>1987</v>
      </c>
      <c r="N979" s="65" t="s">
        <v>1988</v>
      </c>
    </row>
    <row r="980" spans="13:14" x14ac:dyDescent="0.25">
      <c r="M980" s="65" t="s">
        <v>1989</v>
      </c>
      <c r="N980" s="65" t="s">
        <v>1990</v>
      </c>
    </row>
    <row r="981" spans="13:14" x14ac:dyDescent="0.25">
      <c r="M981" s="65" t="s">
        <v>1991</v>
      </c>
      <c r="N981" s="65" t="s">
        <v>1992</v>
      </c>
    </row>
    <row r="982" spans="13:14" x14ac:dyDescent="0.25">
      <c r="M982" s="65" t="s">
        <v>1993</v>
      </c>
      <c r="N982" s="65" t="s">
        <v>1994</v>
      </c>
    </row>
    <row r="983" spans="13:14" x14ac:dyDescent="0.25">
      <c r="M983" s="65" t="s">
        <v>1995</v>
      </c>
      <c r="N983" s="65" t="s">
        <v>1996</v>
      </c>
    </row>
    <row r="984" spans="13:14" x14ac:dyDescent="0.25">
      <c r="M984" s="65" t="s">
        <v>1997</v>
      </c>
      <c r="N984" s="65" t="s">
        <v>1998</v>
      </c>
    </row>
    <row r="985" spans="13:14" x14ac:dyDescent="0.25">
      <c r="M985" s="65" t="s">
        <v>1999</v>
      </c>
      <c r="N985" s="65" t="s">
        <v>2000</v>
      </c>
    </row>
    <row r="986" spans="13:14" x14ac:dyDescent="0.25">
      <c r="M986" s="65" t="s">
        <v>2001</v>
      </c>
      <c r="N986" s="65" t="s">
        <v>2002</v>
      </c>
    </row>
    <row r="987" spans="13:14" x14ac:dyDescent="0.25">
      <c r="M987" s="65" t="s">
        <v>2003</v>
      </c>
      <c r="N987" s="65" t="s">
        <v>2004</v>
      </c>
    </row>
    <row r="988" spans="13:14" x14ac:dyDescent="0.25">
      <c r="M988" s="65" t="s">
        <v>2005</v>
      </c>
      <c r="N988" s="65" t="s">
        <v>2006</v>
      </c>
    </row>
    <row r="989" spans="13:14" x14ac:dyDescent="0.25">
      <c r="M989" s="65" t="s">
        <v>2007</v>
      </c>
      <c r="N989" s="65" t="s">
        <v>2008</v>
      </c>
    </row>
    <row r="990" spans="13:14" x14ac:dyDescent="0.25">
      <c r="M990" s="65" t="s">
        <v>2009</v>
      </c>
      <c r="N990" s="65" t="s">
        <v>2010</v>
      </c>
    </row>
    <row r="991" spans="13:14" x14ac:dyDescent="0.25">
      <c r="M991" s="65" t="s">
        <v>2011</v>
      </c>
      <c r="N991" s="65" t="s">
        <v>2012</v>
      </c>
    </row>
    <row r="992" spans="13:14" x14ac:dyDescent="0.25">
      <c r="M992" s="65" t="s">
        <v>2013</v>
      </c>
      <c r="N992" s="65" t="s">
        <v>2014</v>
      </c>
    </row>
    <row r="993" spans="13:14" x14ac:dyDescent="0.25">
      <c r="M993" s="65" t="s">
        <v>2015</v>
      </c>
      <c r="N993" s="65" t="s">
        <v>2016</v>
      </c>
    </row>
    <row r="994" spans="13:14" x14ac:dyDescent="0.25">
      <c r="M994" s="65" t="s">
        <v>2017</v>
      </c>
      <c r="N994" s="65" t="s">
        <v>2018</v>
      </c>
    </row>
    <row r="995" spans="13:14" x14ac:dyDescent="0.25">
      <c r="M995" s="65" t="s">
        <v>2019</v>
      </c>
      <c r="N995" s="65" t="s">
        <v>2020</v>
      </c>
    </row>
    <row r="996" spans="13:14" x14ac:dyDescent="0.25">
      <c r="M996" s="65" t="s">
        <v>2021</v>
      </c>
      <c r="N996" s="65" t="s">
        <v>2022</v>
      </c>
    </row>
    <row r="997" spans="13:14" x14ac:dyDescent="0.25">
      <c r="M997" s="65" t="s">
        <v>2023</v>
      </c>
      <c r="N997" s="65" t="s">
        <v>2024</v>
      </c>
    </row>
    <row r="998" spans="13:14" x14ac:dyDescent="0.25">
      <c r="M998" s="65" t="s">
        <v>2025</v>
      </c>
      <c r="N998" s="65" t="s">
        <v>2026</v>
      </c>
    </row>
    <row r="999" spans="13:14" x14ac:dyDescent="0.25">
      <c r="M999" s="65" t="s">
        <v>2027</v>
      </c>
      <c r="N999" s="65" t="s">
        <v>2028</v>
      </c>
    </row>
    <row r="1000" spans="13:14" x14ac:dyDescent="0.25">
      <c r="M1000" s="65" t="s">
        <v>2029</v>
      </c>
      <c r="N1000" s="65" t="s">
        <v>2030</v>
      </c>
    </row>
    <row r="1001" spans="13:14" x14ac:dyDescent="0.25">
      <c r="M1001" s="65" t="s">
        <v>2031</v>
      </c>
      <c r="N1001" s="65" t="s">
        <v>2032</v>
      </c>
    </row>
    <row r="1002" spans="13:14" x14ac:dyDescent="0.25">
      <c r="M1002" s="65" t="s">
        <v>2033</v>
      </c>
      <c r="N1002" s="65" t="s">
        <v>2034</v>
      </c>
    </row>
    <row r="1003" spans="13:14" x14ac:dyDescent="0.25">
      <c r="M1003" s="65" t="s">
        <v>2035</v>
      </c>
      <c r="N1003" s="65" t="s">
        <v>2036</v>
      </c>
    </row>
    <row r="1004" spans="13:14" x14ac:dyDescent="0.25">
      <c r="M1004" s="65" t="s">
        <v>2037</v>
      </c>
      <c r="N1004" s="65" t="s">
        <v>2038</v>
      </c>
    </row>
    <row r="1005" spans="13:14" x14ac:dyDescent="0.25">
      <c r="M1005" s="65" t="s">
        <v>2039</v>
      </c>
      <c r="N1005" s="65" t="s">
        <v>2040</v>
      </c>
    </row>
    <row r="1006" spans="13:14" x14ac:dyDescent="0.25">
      <c r="M1006" s="65" t="s">
        <v>2041</v>
      </c>
      <c r="N1006" s="65" t="s">
        <v>2042</v>
      </c>
    </row>
    <row r="1007" spans="13:14" x14ac:dyDescent="0.25">
      <c r="M1007" s="65" t="s">
        <v>2043</v>
      </c>
      <c r="N1007" s="65" t="s">
        <v>2044</v>
      </c>
    </row>
    <row r="1008" spans="13:14" x14ac:dyDescent="0.25">
      <c r="M1008" s="65" t="s">
        <v>2045</v>
      </c>
      <c r="N1008" s="65" t="s">
        <v>2046</v>
      </c>
    </row>
    <row r="1009" spans="13:14" x14ac:dyDescent="0.25">
      <c r="M1009" s="65" t="s">
        <v>2047</v>
      </c>
      <c r="N1009" s="65" t="s">
        <v>2048</v>
      </c>
    </row>
    <row r="1010" spans="13:14" x14ac:dyDescent="0.25">
      <c r="M1010" s="65" t="s">
        <v>2049</v>
      </c>
      <c r="N1010" s="65" t="s">
        <v>2050</v>
      </c>
    </row>
    <row r="1011" spans="13:14" x14ac:dyDescent="0.25">
      <c r="M1011" s="65" t="s">
        <v>2051</v>
      </c>
      <c r="N1011" s="65" t="s">
        <v>2052</v>
      </c>
    </row>
    <row r="1012" spans="13:14" x14ac:dyDescent="0.25">
      <c r="M1012" s="65" t="s">
        <v>2053</v>
      </c>
      <c r="N1012" s="65" t="s">
        <v>2054</v>
      </c>
    </row>
    <row r="1013" spans="13:14" x14ac:dyDescent="0.25">
      <c r="M1013" s="65" t="s">
        <v>2055</v>
      </c>
      <c r="N1013" s="65" t="s">
        <v>2056</v>
      </c>
    </row>
    <row r="1014" spans="13:14" x14ac:dyDescent="0.25">
      <c r="M1014" s="65" t="s">
        <v>2057</v>
      </c>
      <c r="N1014" s="65" t="s">
        <v>2058</v>
      </c>
    </row>
    <row r="1015" spans="13:14" x14ac:dyDescent="0.25">
      <c r="M1015" s="65" t="s">
        <v>2059</v>
      </c>
      <c r="N1015" s="65" t="s">
        <v>2060</v>
      </c>
    </row>
    <row r="1016" spans="13:14" x14ac:dyDescent="0.25">
      <c r="M1016" s="65" t="s">
        <v>2061</v>
      </c>
      <c r="N1016" s="65" t="s">
        <v>2062</v>
      </c>
    </row>
    <row r="1017" spans="13:14" x14ac:dyDescent="0.25">
      <c r="M1017" s="65" t="s">
        <v>2063</v>
      </c>
      <c r="N1017" s="65" t="s">
        <v>2064</v>
      </c>
    </row>
    <row r="1018" spans="13:14" x14ac:dyDescent="0.25">
      <c r="M1018" s="65" t="s">
        <v>2065</v>
      </c>
      <c r="N1018" s="65" t="s">
        <v>2066</v>
      </c>
    </row>
    <row r="1019" spans="13:14" x14ac:dyDescent="0.25">
      <c r="M1019" s="65" t="s">
        <v>2067</v>
      </c>
      <c r="N1019" s="65" t="s">
        <v>2068</v>
      </c>
    </row>
    <row r="1020" spans="13:14" x14ac:dyDescent="0.25">
      <c r="M1020" s="65" t="s">
        <v>2069</v>
      </c>
      <c r="N1020" s="65" t="s">
        <v>2070</v>
      </c>
    </row>
    <row r="1021" spans="13:14" x14ac:dyDescent="0.25">
      <c r="M1021" s="65" t="s">
        <v>2071</v>
      </c>
      <c r="N1021" s="65" t="s">
        <v>2072</v>
      </c>
    </row>
    <row r="1022" spans="13:14" x14ac:dyDescent="0.25">
      <c r="M1022" s="65" t="s">
        <v>2073</v>
      </c>
      <c r="N1022" s="65" t="s">
        <v>2074</v>
      </c>
    </row>
    <row r="1023" spans="13:14" x14ac:dyDescent="0.25">
      <c r="M1023" s="65" t="s">
        <v>2075</v>
      </c>
      <c r="N1023" s="65" t="s">
        <v>2076</v>
      </c>
    </row>
    <row r="1024" spans="13:14" x14ac:dyDescent="0.25">
      <c r="M1024" s="65" t="s">
        <v>2077</v>
      </c>
      <c r="N1024" s="65" t="s">
        <v>2078</v>
      </c>
    </row>
    <row r="1025" spans="13:14" x14ac:dyDescent="0.25">
      <c r="M1025" s="65" t="s">
        <v>2079</v>
      </c>
      <c r="N1025" s="65" t="s">
        <v>2080</v>
      </c>
    </row>
    <row r="1026" spans="13:14" x14ac:dyDescent="0.25">
      <c r="M1026" s="65" t="s">
        <v>2081</v>
      </c>
      <c r="N1026" s="65" t="s">
        <v>2082</v>
      </c>
    </row>
    <row r="1027" spans="13:14" x14ac:dyDescent="0.25">
      <c r="M1027" s="65" t="s">
        <v>2083</v>
      </c>
      <c r="N1027" s="65" t="s">
        <v>2084</v>
      </c>
    </row>
    <row r="1028" spans="13:14" x14ac:dyDescent="0.25">
      <c r="M1028" s="65" t="s">
        <v>2085</v>
      </c>
      <c r="N1028" s="65" t="s">
        <v>2086</v>
      </c>
    </row>
    <row r="1029" spans="13:14" x14ac:dyDescent="0.25">
      <c r="M1029" s="65" t="s">
        <v>2087</v>
      </c>
      <c r="N1029" s="65" t="s">
        <v>2088</v>
      </c>
    </row>
    <row r="1030" spans="13:14" x14ac:dyDescent="0.25">
      <c r="M1030" s="65" t="s">
        <v>2089</v>
      </c>
      <c r="N1030" s="65" t="s">
        <v>2090</v>
      </c>
    </row>
    <row r="1031" spans="13:14" x14ac:dyDescent="0.25">
      <c r="M1031" s="65" t="s">
        <v>2091</v>
      </c>
      <c r="N1031" s="65" t="s">
        <v>2092</v>
      </c>
    </row>
    <row r="1032" spans="13:14" x14ac:dyDescent="0.25">
      <c r="M1032" s="65" t="s">
        <v>2093</v>
      </c>
      <c r="N1032" s="65" t="s">
        <v>2094</v>
      </c>
    </row>
    <row r="1033" spans="13:14" x14ac:dyDescent="0.25">
      <c r="M1033" s="65" t="s">
        <v>2095</v>
      </c>
      <c r="N1033" s="65" t="s">
        <v>2096</v>
      </c>
    </row>
    <row r="1034" spans="13:14" x14ac:dyDescent="0.25">
      <c r="M1034" s="65" t="s">
        <v>2097</v>
      </c>
      <c r="N1034" s="65" t="s">
        <v>2098</v>
      </c>
    </row>
    <row r="1035" spans="13:14" x14ac:dyDescent="0.25">
      <c r="M1035" s="65" t="s">
        <v>2099</v>
      </c>
      <c r="N1035" s="65" t="s">
        <v>2100</v>
      </c>
    </row>
    <row r="1036" spans="13:14" x14ac:dyDescent="0.25">
      <c r="M1036" s="65" t="s">
        <v>2101</v>
      </c>
      <c r="N1036" s="65" t="s">
        <v>2102</v>
      </c>
    </row>
    <row r="1037" spans="13:14" x14ac:dyDescent="0.25">
      <c r="M1037" s="65" t="s">
        <v>2103</v>
      </c>
      <c r="N1037" s="65" t="s">
        <v>2104</v>
      </c>
    </row>
    <row r="1038" spans="13:14" x14ac:dyDescent="0.25">
      <c r="M1038" s="65" t="s">
        <v>2105</v>
      </c>
      <c r="N1038" s="65" t="s">
        <v>2106</v>
      </c>
    </row>
    <row r="1039" spans="13:14" x14ac:dyDescent="0.25">
      <c r="M1039" s="65" t="s">
        <v>2107</v>
      </c>
      <c r="N1039" s="65" t="s">
        <v>2108</v>
      </c>
    </row>
    <row r="1040" spans="13:14" x14ac:dyDescent="0.25">
      <c r="M1040" s="65" t="s">
        <v>2109</v>
      </c>
      <c r="N1040" s="65" t="s">
        <v>2110</v>
      </c>
    </row>
    <row r="1041" spans="13:14" x14ac:dyDescent="0.25">
      <c r="M1041" s="65" t="s">
        <v>2111</v>
      </c>
      <c r="N1041" s="65" t="s">
        <v>2112</v>
      </c>
    </row>
    <row r="1042" spans="13:14" x14ac:dyDescent="0.25">
      <c r="M1042" s="65" t="s">
        <v>2113</v>
      </c>
      <c r="N1042" s="65" t="s">
        <v>2114</v>
      </c>
    </row>
    <row r="1043" spans="13:14" x14ac:dyDescent="0.25">
      <c r="M1043" s="65" t="s">
        <v>2115</v>
      </c>
      <c r="N1043" s="65" t="s">
        <v>2116</v>
      </c>
    </row>
    <row r="1044" spans="13:14" x14ac:dyDescent="0.25">
      <c r="M1044" s="65" t="s">
        <v>2117</v>
      </c>
      <c r="N1044" s="65" t="s">
        <v>2118</v>
      </c>
    </row>
    <row r="1045" spans="13:14" x14ac:dyDescent="0.25">
      <c r="M1045" s="65" t="s">
        <v>2119</v>
      </c>
      <c r="N1045" s="65" t="s">
        <v>2120</v>
      </c>
    </row>
    <row r="1046" spans="13:14" x14ac:dyDescent="0.25">
      <c r="M1046" s="65" t="s">
        <v>2121</v>
      </c>
      <c r="N1046" s="65" t="s">
        <v>2122</v>
      </c>
    </row>
    <row r="1047" spans="13:14" x14ac:dyDescent="0.25">
      <c r="M1047" s="65" t="s">
        <v>2123</v>
      </c>
      <c r="N1047" s="65" t="s">
        <v>2124</v>
      </c>
    </row>
    <row r="1048" spans="13:14" x14ac:dyDescent="0.25">
      <c r="M1048" s="65" t="s">
        <v>2125</v>
      </c>
      <c r="N1048" s="65" t="s">
        <v>2126</v>
      </c>
    </row>
    <row r="1049" spans="13:14" x14ac:dyDescent="0.25">
      <c r="M1049" s="65" t="s">
        <v>2127</v>
      </c>
      <c r="N1049" s="65" t="s">
        <v>2128</v>
      </c>
    </row>
    <row r="1050" spans="13:14" x14ac:dyDescent="0.25">
      <c r="M1050" s="65" t="s">
        <v>2129</v>
      </c>
      <c r="N1050" s="65" t="s">
        <v>2130</v>
      </c>
    </row>
    <row r="1051" spans="13:14" x14ac:dyDescent="0.25">
      <c r="M1051" s="65" t="s">
        <v>2131</v>
      </c>
      <c r="N1051" s="65" t="s">
        <v>2132</v>
      </c>
    </row>
    <row r="1052" spans="13:14" x14ac:dyDescent="0.25">
      <c r="M1052" s="65" t="s">
        <v>2133</v>
      </c>
      <c r="N1052" s="65" t="s">
        <v>2134</v>
      </c>
    </row>
    <row r="1053" spans="13:14" x14ac:dyDescent="0.25">
      <c r="M1053" s="65" t="s">
        <v>2135</v>
      </c>
      <c r="N1053" s="65" t="s">
        <v>2136</v>
      </c>
    </row>
    <row r="1054" spans="13:14" x14ac:dyDescent="0.25">
      <c r="M1054" s="65" t="s">
        <v>2137</v>
      </c>
      <c r="N1054" s="65" t="s">
        <v>2138</v>
      </c>
    </row>
    <row r="1055" spans="13:14" x14ac:dyDescent="0.25">
      <c r="M1055" s="65" t="s">
        <v>2139</v>
      </c>
      <c r="N1055" s="65" t="s">
        <v>2140</v>
      </c>
    </row>
    <row r="1056" spans="13:14" x14ac:dyDescent="0.25">
      <c r="M1056" s="65" t="s">
        <v>2141</v>
      </c>
      <c r="N1056" s="65" t="s">
        <v>2142</v>
      </c>
    </row>
    <row r="1057" spans="13:14" x14ac:dyDescent="0.25">
      <c r="M1057" s="65" t="s">
        <v>2143</v>
      </c>
      <c r="N1057" s="65" t="s">
        <v>2144</v>
      </c>
    </row>
    <row r="1058" spans="13:14" x14ac:dyDescent="0.25">
      <c r="M1058" s="65" t="s">
        <v>2145</v>
      </c>
      <c r="N1058" s="65" t="s">
        <v>2146</v>
      </c>
    </row>
    <row r="1059" spans="13:14" x14ac:dyDescent="0.25">
      <c r="M1059" s="65" t="s">
        <v>2147</v>
      </c>
      <c r="N1059" s="65" t="s">
        <v>2148</v>
      </c>
    </row>
    <row r="1060" spans="13:14" x14ac:dyDescent="0.25">
      <c r="M1060" s="65" t="s">
        <v>2149</v>
      </c>
      <c r="N1060" s="65" t="s">
        <v>2150</v>
      </c>
    </row>
    <row r="1061" spans="13:14" x14ac:dyDescent="0.25">
      <c r="M1061" s="65" t="s">
        <v>2151</v>
      </c>
      <c r="N1061" s="65" t="s">
        <v>2152</v>
      </c>
    </row>
    <row r="1062" spans="13:14" x14ac:dyDescent="0.25">
      <c r="M1062" s="65" t="s">
        <v>2153</v>
      </c>
      <c r="N1062" s="65" t="s">
        <v>2154</v>
      </c>
    </row>
    <row r="1063" spans="13:14" x14ac:dyDescent="0.25">
      <c r="M1063" s="65" t="s">
        <v>2155</v>
      </c>
      <c r="N1063" s="65" t="s">
        <v>2156</v>
      </c>
    </row>
    <row r="1064" spans="13:14" x14ac:dyDescent="0.25">
      <c r="M1064" s="65" t="s">
        <v>2157</v>
      </c>
      <c r="N1064" s="65" t="s">
        <v>2158</v>
      </c>
    </row>
    <row r="1065" spans="13:14" x14ac:dyDescent="0.25">
      <c r="M1065" s="65" t="s">
        <v>2159</v>
      </c>
      <c r="N1065" s="65" t="s">
        <v>2160</v>
      </c>
    </row>
    <row r="1066" spans="13:14" x14ac:dyDescent="0.25">
      <c r="M1066" s="65" t="s">
        <v>2161</v>
      </c>
      <c r="N1066" s="65" t="s">
        <v>2162</v>
      </c>
    </row>
    <row r="1067" spans="13:14" x14ac:dyDescent="0.25">
      <c r="M1067" s="65" t="s">
        <v>2163</v>
      </c>
      <c r="N1067" s="65" t="s">
        <v>2164</v>
      </c>
    </row>
    <row r="1068" spans="13:14" x14ac:dyDescent="0.25">
      <c r="M1068" s="65" t="s">
        <v>2165</v>
      </c>
      <c r="N1068" s="65" t="s">
        <v>2166</v>
      </c>
    </row>
    <row r="1069" spans="13:14" x14ac:dyDescent="0.25">
      <c r="M1069" s="65" t="s">
        <v>2167</v>
      </c>
      <c r="N1069" s="65" t="s">
        <v>2168</v>
      </c>
    </row>
    <row r="1070" spans="13:14" x14ac:dyDescent="0.25">
      <c r="M1070" s="65" t="s">
        <v>2169</v>
      </c>
      <c r="N1070" s="65" t="s">
        <v>2170</v>
      </c>
    </row>
    <row r="1071" spans="13:14" x14ac:dyDescent="0.25">
      <c r="M1071" s="65" t="s">
        <v>2171</v>
      </c>
      <c r="N1071" s="65" t="s">
        <v>2172</v>
      </c>
    </row>
    <row r="1072" spans="13:14" x14ac:dyDescent="0.25">
      <c r="M1072" s="65" t="s">
        <v>2173</v>
      </c>
      <c r="N1072" s="65" t="s">
        <v>2174</v>
      </c>
    </row>
    <row r="1073" spans="13:14" x14ac:dyDescent="0.25">
      <c r="M1073" s="65" t="s">
        <v>2175</v>
      </c>
      <c r="N1073" s="65" t="s">
        <v>2176</v>
      </c>
    </row>
    <row r="1074" spans="13:14" x14ac:dyDescent="0.25">
      <c r="M1074" s="65" t="s">
        <v>2177</v>
      </c>
      <c r="N1074" s="65" t="s">
        <v>2178</v>
      </c>
    </row>
    <row r="1075" spans="13:14" x14ac:dyDescent="0.25">
      <c r="M1075" s="65" t="s">
        <v>2179</v>
      </c>
      <c r="N1075" s="65" t="s">
        <v>2180</v>
      </c>
    </row>
    <row r="1076" spans="13:14" x14ac:dyDescent="0.25">
      <c r="M1076" s="65" t="s">
        <v>2181</v>
      </c>
      <c r="N1076" s="65" t="s">
        <v>2182</v>
      </c>
    </row>
    <row r="1077" spans="13:14" x14ac:dyDescent="0.25">
      <c r="M1077" s="65" t="s">
        <v>2183</v>
      </c>
      <c r="N1077" s="65" t="s">
        <v>2184</v>
      </c>
    </row>
    <row r="1078" spans="13:14" x14ac:dyDescent="0.25">
      <c r="M1078" s="65" t="s">
        <v>2185</v>
      </c>
      <c r="N1078" s="65" t="s">
        <v>2186</v>
      </c>
    </row>
    <row r="1079" spans="13:14" x14ac:dyDescent="0.25">
      <c r="M1079" s="65" t="s">
        <v>2187</v>
      </c>
      <c r="N1079" s="65" t="s">
        <v>2188</v>
      </c>
    </row>
    <row r="1080" spans="13:14" x14ac:dyDescent="0.25">
      <c r="M1080" s="65" t="s">
        <v>2189</v>
      </c>
      <c r="N1080" s="65" t="s">
        <v>2190</v>
      </c>
    </row>
    <row r="1081" spans="13:14" x14ac:dyDescent="0.25">
      <c r="M1081" s="65" t="s">
        <v>2191</v>
      </c>
      <c r="N1081" s="65" t="s">
        <v>2192</v>
      </c>
    </row>
    <row r="1082" spans="13:14" x14ac:dyDescent="0.25">
      <c r="M1082" s="65" t="s">
        <v>2193</v>
      </c>
      <c r="N1082" s="65" t="s">
        <v>2194</v>
      </c>
    </row>
    <row r="1083" spans="13:14" x14ac:dyDescent="0.25">
      <c r="M1083" s="65" t="s">
        <v>2195</v>
      </c>
      <c r="N1083" s="65" t="s">
        <v>2196</v>
      </c>
    </row>
    <row r="1084" spans="13:14" x14ac:dyDescent="0.25">
      <c r="M1084" s="65" t="s">
        <v>2197</v>
      </c>
      <c r="N1084" s="65" t="s">
        <v>2198</v>
      </c>
    </row>
    <row r="1085" spans="13:14" x14ac:dyDescent="0.25">
      <c r="M1085" s="65" t="s">
        <v>2199</v>
      </c>
      <c r="N1085" s="65" t="s">
        <v>2200</v>
      </c>
    </row>
    <row r="1086" spans="13:14" x14ac:dyDescent="0.25">
      <c r="M1086" s="65" t="s">
        <v>2201</v>
      </c>
      <c r="N1086" s="65" t="s">
        <v>2202</v>
      </c>
    </row>
    <row r="1087" spans="13:14" x14ac:dyDescent="0.25">
      <c r="M1087" s="65" t="s">
        <v>2203</v>
      </c>
      <c r="N1087" s="65" t="s">
        <v>2204</v>
      </c>
    </row>
    <row r="1088" spans="13:14" x14ac:dyDescent="0.25">
      <c r="M1088" s="65" t="s">
        <v>2205</v>
      </c>
      <c r="N1088" s="65" t="s">
        <v>2206</v>
      </c>
    </row>
    <row r="1089" spans="13:14" x14ac:dyDescent="0.25">
      <c r="M1089" s="65" t="s">
        <v>2207</v>
      </c>
      <c r="N1089" s="65" t="s">
        <v>2208</v>
      </c>
    </row>
    <row r="1090" spans="13:14" x14ac:dyDescent="0.25">
      <c r="M1090" s="65" t="s">
        <v>2209</v>
      </c>
      <c r="N1090" s="65" t="s">
        <v>2210</v>
      </c>
    </row>
    <row r="1091" spans="13:14" x14ac:dyDescent="0.25">
      <c r="M1091" s="65" t="s">
        <v>2211</v>
      </c>
      <c r="N1091" s="65" t="s">
        <v>2212</v>
      </c>
    </row>
    <row r="1092" spans="13:14" x14ac:dyDescent="0.25">
      <c r="M1092" s="65" t="s">
        <v>2213</v>
      </c>
      <c r="N1092" s="65" t="s">
        <v>2214</v>
      </c>
    </row>
    <row r="1093" spans="13:14" x14ac:dyDescent="0.25">
      <c r="M1093" s="65" t="s">
        <v>2215</v>
      </c>
      <c r="N1093" s="65" t="s">
        <v>2216</v>
      </c>
    </row>
    <row r="1094" spans="13:14" x14ac:dyDescent="0.25">
      <c r="M1094" s="65" t="s">
        <v>2217</v>
      </c>
      <c r="N1094" s="65" t="s">
        <v>2218</v>
      </c>
    </row>
    <row r="1095" spans="13:14" x14ac:dyDescent="0.25">
      <c r="M1095" s="65" t="s">
        <v>2219</v>
      </c>
      <c r="N1095" s="65" t="s">
        <v>2220</v>
      </c>
    </row>
    <row r="1096" spans="13:14" x14ac:dyDescent="0.25">
      <c r="M1096" s="65" t="s">
        <v>2221</v>
      </c>
      <c r="N1096" s="65" t="s">
        <v>2222</v>
      </c>
    </row>
    <row r="1097" spans="13:14" x14ac:dyDescent="0.25">
      <c r="M1097" s="65" t="s">
        <v>2223</v>
      </c>
      <c r="N1097" s="65" t="s">
        <v>2224</v>
      </c>
    </row>
    <row r="1098" spans="13:14" x14ac:dyDescent="0.25">
      <c r="M1098" s="65" t="s">
        <v>2225</v>
      </c>
      <c r="N1098" s="65" t="s">
        <v>2226</v>
      </c>
    </row>
    <row r="1099" spans="13:14" x14ac:dyDescent="0.25">
      <c r="M1099" s="65" t="s">
        <v>2227</v>
      </c>
      <c r="N1099" s="65" t="s">
        <v>2228</v>
      </c>
    </row>
    <row r="1100" spans="13:14" x14ac:dyDescent="0.25">
      <c r="M1100" s="65" t="s">
        <v>2229</v>
      </c>
      <c r="N1100" s="65" t="s">
        <v>2230</v>
      </c>
    </row>
    <row r="1101" spans="13:14" x14ac:dyDescent="0.25">
      <c r="M1101" s="65" t="s">
        <v>2231</v>
      </c>
      <c r="N1101" s="65" t="s">
        <v>2232</v>
      </c>
    </row>
    <row r="1102" spans="13:14" x14ac:dyDescent="0.25">
      <c r="M1102" s="65" t="s">
        <v>2233</v>
      </c>
      <c r="N1102" s="65" t="s">
        <v>2234</v>
      </c>
    </row>
    <row r="1103" spans="13:14" x14ac:dyDescent="0.25">
      <c r="M1103" s="65" t="s">
        <v>2235</v>
      </c>
      <c r="N1103" s="65" t="s">
        <v>2236</v>
      </c>
    </row>
    <row r="1104" spans="13:14" x14ac:dyDescent="0.25">
      <c r="M1104" s="65" t="s">
        <v>2237</v>
      </c>
      <c r="N1104" s="65" t="s">
        <v>2238</v>
      </c>
    </row>
    <row r="1105" spans="13:14" x14ac:dyDescent="0.25">
      <c r="M1105" s="65" t="s">
        <v>2239</v>
      </c>
      <c r="N1105" s="65" t="s">
        <v>2240</v>
      </c>
    </row>
    <row r="1106" spans="13:14" x14ac:dyDescent="0.25">
      <c r="M1106" s="65" t="s">
        <v>2241</v>
      </c>
      <c r="N1106" s="65" t="s">
        <v>2242</v>
      </c>
    </row>
    <row r="1107" spans="13:14" x14ac:dyDescent="0.25">
      <c r="M1107" s="65" t="s">
        <v>2243</v>
      </c>
      <c r="N1107" s="65" t="s">
        <v>2244</v>
      </c>
    </row>
    <row r="1108" spans="13:14" x14ac:dyDescent="0.25">
      <c r="M1108" s="65" t="s">
        <v>2245</v>
      </c>
      <c r="N1108" s="65" t="s">
        <v>2246</v>
      </c>
    </row>
    <row r="1109" spans="13:14" x14ac:dyDescent="0.25">
      <c r="M1109" s="65" t="s">
        <v>2247</v>
      </c>
      <c r="N1109" s="65" t="s">
        <v>2248</v>
      </c>
    </row>
    <row r="1110" spans="13:14" x14ac:dyDescent="0.25">
      <c r="M1110" s="65" t="s">
        <v>2249</v>
      </c>
      <c r="N1110" s="65" t="s">
        <v>2250</v>
      </c>
    </row>
    <row r="1111" spans="13:14" x14ac:dyDescent="0.25">
      <c r="M1111" s="65" t="s">
        <v>2251</v>
      </c>
      <c r="N1111" s="65" t="s">
        <v>2252</v>
      </c>
    </row>
    <row r="1112" spans="13:14" x14ac:dyDescent="0.25">
      <c r="M1112" s="65" t="s">
        <v>2253</v>
      </c>
      <c r="N1112" s="65" t="s">
        <v>2254</v>
      </c>
    </row>
    <row r="1113" spans="13:14" x14ac:dyDescent="0.25">
      <c r="M1113" s="65" t="s">
        <v>2255</v>
      </c>
      <c r="N1113" s="65" t="s">
        <v>2256</v>
      </c>
    </row>
    <row r="1114" spans="13:14" x14ac:dyDescent="0.25">
      <c r="M1114" s="65" t="s">
        <v>2257</v>
      </c>
      <c r="N1114" s="65" t="s">
        <v>2258</v>
      </c>
    </row>
    <row r="1115" spans="13:14" x14ac:dyDescent="0.25">
      <c r="M1115" s="65" t="s">
        <v>2259</v>
      </c>
      <c r="N1115" s="65" t="s">
        <v>2260</v>
      </c>
    </row>
    <row r="1116" spans="13:14" x14ac:dyDescent="0.25">
      <c r="M1116" s="65" t="s">
        <v>2261</v>
      </c>
      <c r="N1116" s="65" t="s">
        <v>2262</v>
      </c>
    </row>
    <row r="1117" spans="13:14" x14ac:dyDescent="0.25">
      <c r="M1117" s="65" t="s">
        <v>2263</v>
      </c>
      <c r="N1117" s="65" t="s">
        <v>2264</v>
      </c>
    </row>
    <row r="1118" spans="13:14" x14ac:dyDescent="0.25">
      <c r="M1118" s="65" t="s">
        <v>2265</v>
      </c>
      <c r="N1118" s="65" t="s">
        <v>2266</v>
      </c>
    </row>
    <row r="1119" spans="13:14" x14ac:dyDescent="0.25">
      <c r="M1119" s="65" t="s">
        <v>2267</v>
      </c>
      <c r="N1119" s="65" t="s">
        <v>2268</v>
      </c>
    </row>
    <row r="1120" spans="13:14" x14ac:dyDescent="0.25">
      <c r="M1120" s="65" t="s">
        <v>2269</v>
      </c>
      <c r="N1120" s="65" t="s">
        <v>2270</v>
      </c>
    </row>
    <row r="1121" spans="13:14" x14ac:dyDescent="0.25">
      <c r="M1121" s="65" t="s">
        <v>2271</v>
      </c>
      <c r="N1121" s="65" t="s">
        <v>2272</v>
      </c>
    </row>
    <row r="1122" spans="13:14" x14ac:dyDescent="0.25">
      <c r="M1122" s="65" t="s">
        <v>2273</v>
      </c>
      <c r="N1122" s="65" t="s">
        <v>2274</v>
      </c>
    </row>
    <row r="1123" spans="13:14" x14ac:dyDescent="0.25">
      <c r="M1123" s="65" t="s">
        <v>2275</v>
      </c>
      <c r="N1123" s="65" t="s">
        <v>2276</v>
      </c>
    </row>
    <row r="1124" spans="13:14" x14ac:dyDescent="0.25">
      <c r="M1124" s="65" t="s">
        <v>2277</v>
      </c>
      <c r="N1124" s="65" t="s">
        <v>2278</v>
      </c>
    </row>
    <row r="1125" spans="13:14" x14ac:dyDescent="0.25">
      <c r="M1125" s="65" t="s">
        <v>2279</v>
      </c>
      <c r="N1125" s="65" t="s">
        <v>2280</v>
      </c>
    </row>
    <row r="1126" spans="13:14" x14ac:dyDescent="0.25">
      <c r="M1126" s="65" t="s">
        <v>2281</v>
      </c>
      <c r="N1126" s="65" t="s">
        <v>2282</v>
      </c>
    </row>
    <row r="1127" spans="13:14" x14ac:dyDescent="0.25">
      <c r="M1127" s="65" t="s">
        <v>2283</v>
      </c>
      <c r="N1127" s="65" t="s">
        <v>2284</v>
      </c>
    </row>
    <row r="1128" spans="13:14" x14ac:dyDescent="0.25">
      <c r="M1128" s="65" t="s">
        <v>2285</v>
      </c>
      <c r="N1128" s="65" t="s">
        <v>2286</v>
      </c>
    </row>
    <row r="1129" spans="13:14" x14ac:dyDescent="0.25">
      <c r="M1129" s="65" t="s">
        <v>2287</v>
      </c>
      <c r="N1129" s="65" t="s">
        <v>2288</v>
      </c>
    </row>
    <row r="1130" spans="13:14" x14ac:dyDescent="0.25">
      <c r="M1130" s="65" t="s">
        <v>2289</v>
      </c>
      <c r="N1130" s="65" t="s">
        <v>2290</v>
      </c>
    </row>
    <row r="1131" spans="13:14" x14ac:dyDescent="0.25">
      <c r="M1131" s="65" t="s">
        <v>2291</v>
      </c>
      <c r="N1131" s="65" t="s">
        <v>2292</v>
      </c>
    </row>
    <row r="1132" spans="13:14" x14ac:dyDescent="0.25">
      <c r="M1132" s="65" t="s">
        <v>2293</v>
      </c>
      <c r="N1132" s="65" t="s">
        <v>2294</v>
      </c>
    </row>
    <row r="1133" spans="13:14" x14ac:dyDescent="0.25">
      <c r="M1133" s="65" t="s">
        <v>2295</v>
      </c>
      <c r="N1133" s="65" t="s">
        <v>2296</v>
      </c>
    </row>
    <row r="1134" spans="13:14" x14ac:dyDescent="0.25">
      <c r="M1134" s="65" t="s">
        <v>2297</v>
      </c>
      <c r="N1134" s="65" t="s">
        <v>2298</v>
      </c>
    </row>
    <row r="1135" spans="13:14" x14ac:dyDescent="0.25">
      <c r="M1135" s="65" t="s">
        <v>2299</v>
      </c>
      <c r="N1135" s="65" t="s">
        <v>2300</v>
      </c>
    </row>
    <row r="1136" spans="13:14" x14ac:dyDescent="0.25">
      <c r="M1136" s="65" t="s">
        <v>2301</v>
      </c>
      <c r="N1136" s="65" t="s">
        <v>2302</v>
      </c>
    </row>
    <row r="1137" spans="13:14" x14ac:dyDescent="0.25">
      <c r="M1137" s="65" t="s">
        <v>2303</v>
      </c>
      <c r="N1137" s="65" t="s">
        <v>2304</v>
      </c>
    </row>
    <row r="1138" spans="13:14" x14ac:dyDescent="0.25">
      <c r="M1138" s="65" t="s">
        <v>2305</v>
      </c>
      <c r="N1138" s="65" t="s">
        <v>2306</v>
      </c>
    </row>
    <row r="1139" spans="13:14" x14ac:dyDescent="0.25">
      <c r="M1139" s="65" t="s">
        <v>2307</v>
      </c>
      <c r="N1139" s="65" t="s">
        <v>2308</v>
      </c>
    </row>
    <row r="1140" spans="13:14" x14ac:dyDescent="0.25">
      <c r="M1140" s="65" t="s">
        <v>2309</v>
      </c>
      <c r="N1140" s="65" t="s">
        <v>2310</v>
      </c>
    </row>
    <row r="1141" spans="13:14" x14ac:dyDescent="0.25">
      <c r="M1141" s="65" t="s">
        <v>2311</v>
      </c>
      <c r="N1141" s="65" t="s">
        <v>2312</v>
      </c>
    </row>
    <row r="1142" spans="13:14" x14ac:dyDescent="0.25">
      <c r="M1142" s="65" t="s">
        <v>2313</v>
      </c>
      <c r="N1142" s="65" t="s">
        <v>2314</v>
      </c>
    </row>
    <row r="1143" spans="13:14" x14ac:dyDescent="0.25">
      <c r="M1143" s="65" t="s">
        <v>2315</v>
      </c>
      <c r="N1143" s="65" t="s">
        <v>2316</v>
      </c>
    </row>
    <row r="1144" spans="13:14" x14ac:dyDescent="0.25">
      <c r="M1144" s="65" t="s">
        <v>2317</v>
      </c>
      <c r="N1144" s="65" t="s">
        <v>2318</v>
      </c>
    </row>
    <row r="1145" spans="13:14" x14ac:dyDescent="0.25">
      <c r="M1145" s="65" t="s">
        <v>2319</v>
      </c>
      <c r="N1145" s="65" t="s">
        <v>2320</v>
      </c>
    </row>
    <row r="1146" spans="13:14" x14ac:dyDescent="0.25">
      <c r="M1146" s="65" t="s">
        <v>2321</v>
      </c>
      <c r="N1146" s="65" t="s">
        <v>2322</v>
      </c>
    </row>
    <row r="1147" spans="13:14" x14ac:dyDescent="0.25">
      <c r="M1147" s="65" t="s">
        <v>2323</v>
      </c>
      <c r="N1147" s="65" t="s">
        <v>2324</v>
      </c>
    </row>
    <row r="1148" spans="13:14" x14ac:dyDescent="0.25">
      <c r="M1148" s="65" t="s">
        <v>2325</v>
      </c>
      <c r="N1148" s="65" t="s">
        <v>2326</v>
      </c>
    </row>
    <row r="1149" spans="13:14" x14ac:dyDescent="0.25">
      <c r="M1149" s="65" t="s">
        <v>2327</v>
      </c>
      <c r="N1149" s="65" t="s">
        <v>2328</v>
      </c>
    </row>
    <row r="1150" spans="13:14" x14ac:dyDescent="0.25">
      <c r="M1150" s="65" t="s">
        <v>2329</v>
      </c>
      <c r="N1150" s="65" t="s">
        <v>2330</v>
      </c>
    </row>
    <row r="1151" spans="13:14" x14ac:dyDescent="0.25">
      <c r="M1151" s="65" t="s">
        <v>2331</v>
      </c>
      <c r="N1151" s="65" t="s">
        <v>2332</v>
      </c>
    </row>
    <row r="1152" spans="13:14" x14ac:dyDescent="0.25">
      <c r="M1152" s="65" t="s">
        <v>2333</v>
      </c>
      <c r="N1152" s="65" t="s">
        <v>2334</v>
      </c>
    </row>
    <row r="1153" spans="13:14" x14ac:dyDescent="0.25">
      <c r="M1153" s="65" t="s">
        <v>2335</v>
      </c>
      <c r="N1153" s="65" t="s">
        <v>2336</v>
      </c>
    </row>
    <row r="1154" spans="13:14" x14ac:dyDescent="0.25">
      <c r="M1154" s="65" t="s">
        <v>2337</v>
      </c>
      <c r="N1154" s="65" t="s">
        <v>2338</v>
      </c>
    </row>
    <row r="1155" spans="13:14" x14ac:dyDescent="0.25">
      <c r="M1155" s="65" t="s">
        <v>2339</v>
      </c>
      <c r="N1155" s="65" t="s">
        <v>2340</v>
      </c>
    </row>
    <row r="1156" spans="13:14" x14ac:dyDescent="0.25">
      <c r="M1156" s="65" t="s">
        <v>2341</v>
      </c>
      <c r="N1156" s="65" t="s">
        <v>2342</v>
      </c>
    </row>
    <row r="1157" spans="13:14" x14ac:dyDescent="0.25">
      <c r="M1157" s="65" t="s">
        <v>2343</v>
      </c>
      <c r="N1157" s="65" t="s">
        <v>2344</v>
      </c>
    </row>
    <row r="1158" spans="13:14" x14ac:dyDescent="0.25">
      <c r="M1158" s="65" t="s">
        <v>2345</v>
      </c>
      <c r="N1158" s="65" t="s">
        <v>2346</v>
      </c>
    </row>
    <row r="1159" spans="13:14" x14ac:dyDescent="0.25">
      <c r="M1159" s="65" t="s">
        <v>2347</v>
      </c>
      <c r="N1159" s="65" t="s">
        <v>2348</v>
      </c>
    </row>
    <row r="1160" spans="13:14" x14ac:dyDescent="0.25">
      <c r="M1160" s="65" t="s">
        <v>2349</v>
      </c>
      <c r="N1160" s="65" t="s">
        <v>2350</v>
      </c>
    </row>
    <row r="1161" spans="13:14" x14ac:dyDescent="0.25">
      <c r="M1161" s="65" t="s">
        <v>2351</v>
      </c>
      <c r="N1161" s="65" t="s">
        <v>2352</v>
      </c>
    </row>
    <row r="1162" spans="13:14" x14ac:dyDescent="0.25">
      <c r="M1162" s="65" t="s">
        <v>2353</v>
      </c>
      <c r="N1162" s="65" t="s">
        <v>2354</v>
      </c>
    </row>
    <row r="1163" spans="13:14" x14ac:dyDescent="0.25">
      <c r="M1163" s="65" t="s">
        <v>2355</v>
      </c>
      <c r="N1163" s="65" t="s">
        <v>2356</v>
      </c>
    </row>
    <row r="1164" spans="13:14" x14ac:dyDescent="0.25">
      <c r="M1164" s="65" t="s">
        <v>2357</v>
      </c>
      <c r="N1164" s="65" t="s">
        <v>2358</v>
      </c>
    </row>
    <row r="1165" spans="13:14" x14ac:dyDescent="0.25">
      <c r="M1165" s="65" t="s">
        <v>2359</v>
      </c>
      <c r="N1165" s="65" t="s">
        <v>2360</v>
      </c>
    </row>
    <row r="1166" spans="13:14" x14ac:dyDescent="0.25">
      <c r="M1166" s="65" t="s">
        <v>2361</v>
      </c>
      <c r="N1166" s="65" t="s">
        <v>2362</v>
      </c>
    </row>
    <row r="1167" spans="13:14" x14ac:dyDescent="0.25">
      <c r="M1167" s="65" t="s">
        <v>2363</v>
      </c>
      <c r="N1167" s="65" t="s">
        <v>2364</v>
      </c>
    </row>
    <row r="1168" spans="13:14" x14ac:dyDescent="0.25">
      <c r="M1168" s="65" t="s">
        <v>2365</v>
      </c>
      <c r="N1168" s="65" t="s">
        <v>2366</v>
      </c>
    </row>
    <row r="1169" spans="13:14" x14ac:dyDescent="0.25">
      <c r="M1169" s="65" t="s">
        <v>2367</v>
      </c>
      <c r="N1169" s="65" t="s">
        <v>2368</v>
      </c>
    </row>
    <row r="1170" spans="13:14" x14ac:dyDescent="0.25">
      <c r="M1170" s="65" t="s">
        <v>2369</v>
      </c>
      <c r="N1170" s="65" t="s">
        <v>2370</v>
      </c>
    </row>
    <row r="1171" spans="13:14" x14ac:dyDescent="0.25">
      <c r="M1171" s="65" t="s">
        <v>2371</v>
      </c>
      <c r="N1171" s="65" t="s">
        <v>2372</v>
      </c>
    </row>
    <row r="1172" spans="13:14" x14ac:dyDescent="0.25">
      <c r="M1172" s="65" t="s">
        <v>2373</v>
      </c>
      <c r="N1172" s="65" t="s">
        <v>2374</v>
      </c>
    </row>
    <row r="1173" spans="13:14" x14ac:dyDescent="0.25">
      <c r="M1173" s="65" t="s">
        <v>2375</v>
      </c>
      <c r="N1173" s="65" t="s">
        <v>2376</v>
      </c>
    </row>
    <row r="1174" spans="13:14" x14ac:dyDescent="0.25">
      <c r="M1174" s="65" t="s">
        <v>2377</v>
      </c>
      <c r="N1174" s="65" t="s">
        <v>2378</v>
      </c>
    </row>
    <row r="1175" spans="13:14" x14ac:dyDescent="0.25">
      <c r="M1175" s="65" t="s">
        <v>2379</v>
      </c>
      <c r="N1175" s="65" t="s">
        <v>2380</v>
      </c>
    </row>
    <row r="1176" spans="13:14" x14ac:dyDescent="0.25">
      <c r="M1176" s="65" t="s">
        <v>2381</v>
      </c>
      <c r="N1176" s="65" t="s">
        <v>2382</v>
      </c>
    </row>
    <row r="1177" spans="13:14" x14ac:dyDescent="0.25">
      <c r="M1177" s="65" t="s">
        <v>2383</v>
      </c>
      <c r="N1177" s="65" t="s">
        <v>2384</v>
      </c>
    </row>
    <row r="1178" spans="13:14" x14ac:dyDescent="0.25">
      <c r="M1178" s="65" t="s">
        <v>2385</v>
      </c>
      <c r="N1178" s="65" t="s">
        <v>2386</v>
      </c>
    </row>
    <row r="1179" spans="13:14" x14ac:dyDescent="0.25">
      <c r="M1179" s="65" t="s">
        <v>2387</v>
      </c>
      <c r="N1179" s="65" t="s">
        <v>2388</v>
      </c>
    </row>
    <row r="1180" spans="13:14" x14ac:dyDescent="0.25">
      <c r="M1180" s="65" t="s">
        <v>2389</v>
      </c>
      <c r="N1180" s="65" t="s">
        <v>2390</v>
      </c>
    </row>
    <row r="1181" spans="13:14" x14ac:dyDescent="0.25">
      <c r="M1181" s="65" t="s">
        <v>2391</v>
      </c>
      <c r="N1181" s="65" t="s">
        <v>2392</v>
      </c>
    </row>
    <row r="1182" spans="13:14" x14ac:dyDescent="0.25">
      <c r="M1182" s="65" t="s">
        <v>2393</v>
      </c>
      <c r="N1182" s="65" t="s">
        <v>2394</v>
      </c>
    </row>
    <row r="1183" spans="13:14" x14ac:dyDescent="0.25">
      <c r="M1183" s="65" t="s">
        <v>2395</v>
      </c>
      <c r="N1183" s="65" t="s">
        <v>2396</v>
      </c>
    </row>
    <row r="1184" spans="13:14" x14ac:dyDescent="0.25">
      <c r="M1184" s="65" t="s">
        <v>2397</v>
      </c>
      <c r="N1184" s="65" t="s">
        <v>2398</v>
      </c>
    </row>
    <row r="1185" spans="13:14" x14ac:dyDescent="0.25">
      <c r="M1185" s="65" t="s">
        <v>2399</v>
      </c>
      <c r="N1185" s="65" t="s">
        <v>2400</v>
      </c>
    </row>
    <row r="1186" spans="13:14" x14ac:dyDescent="0.25">
      <c r="M1186" s="65" t="s">
        <v>2401</v>
      </c>
      <c r="N1186" s="65" t="s">
        <v>2402</v>
      </c>
    </row>
    <row r="1187" spans="13:14" x14ac:dyDescent="0.25">
      <c r="M1187" s="65" t="s">
        <v>2403</v>
      </c>
      <c r="N1187" s="65" t="s">
        <v>2404</v>
      </c>
    </row>
    <row r="1188" spans="13:14" x14ac:dyDescent="0.25">
      <c r="M1188" s="65" t="s">
        <v>2405</v>
      </c>
      <c r="N1188" s="65" t="s">
        <v>2406</v>
      </c>
    </row>
    <row r="1189" spans="13:14" x14ac:dyDescent="0.25">
      <c r="M1189" s="65" t="s">
        <v>2407</v>
      </c>
      <c r="N1189" s="65" t="s">
        <v>2408</v>
      </c>
    </row>
    <row r="1190" spans="13:14" x14ac:dyDescent="0.25">
      <c r="M1190" s="65" t="s">
        <v>2409</v>
      </c>
      <c r="N1190" s="65" t="s">
        <v>2410</v>
      </c>
    </row>
    <row r="1191" spans="13:14" x14ac:dyDescent="0.25">
      <c r="M1191" s="65" t="s">
        <v>2411</v>
      </c>
      <c r="N1191" s="65" t="s">
        <v>2412</v>
      </c>
    </row>
    <row r="1192" spans="13:14" x14ac:dyDescent="0.25">
      <c r="M1192" s="65" t="s">
        <v>2413</v>
      </c>
      <c r="N1192" s="65" t="s">
        <v>2414</v>
      </c>
    </row>
    <row r="1193" spans="13:14" x14ac:dyDescent="0.25">
      <c r="M1193" s="65" t="s">
        <v>2415</v>
      </c>
      <c r="N1193" s="65" t="s">
        <v>2416</v>
      </c>
    </row>
    <row r="1194" spans="13:14" x14ac:dyDescent="0.25">
      <c r="M1194" s="65" t="s">
        <v>2417</v>
      </c>
      <c r="N1194" s="65" t="s">
        <v>2418</v>
      </c>
    </row>
    <row r="1195" spans="13:14" x14ac:dyDescent="0.25">
      <c r="M1195" s="65" t="s">
        <v>2419</v>
      </c>
      <c r="N1195" s="65" t="s">
        <v>2420</v>
      </c>
    </row>
    <row r="1196" spans="13:14" x14ac:dyDescent="0.25">
      <c r="M1196" s="65" t="s">
        <v>2421</v>
      </c>
      <c r="N1196" s="65" t="s">
        <v>2422</v>
      </c>
    </row>
    <row r="1197" spans="13:14" x14ac:dyDescent="0.25">
      <c r="M1197" s="65" t="s">
        <v>2423</v>
      </c>
      <c r="N1197" s="65" t="s">
        <v>2424</v>
      </c>
    </row>
    <row r="1198" spans="13:14" x14ac:dyDescent="0.25">
      <c r="M1198" s="65" t="s">
        <v>2425</v>
      </c>
      <c r="N1198" s="65" t="s">
        <v>2426</v>
      </c>
    </row>
    <row r="1199" spans="13:14" x14ac:dyDescent="0.25">
      <c r="M1199" s="65" t="s">
        <v>2427</v>
      </c>
      <c r="N1199" s="65" t="s">
        <v>2428</v>
      </c>
    </row>
    <row r="1200" spans="13:14" x14ac:dyDescent="0.25">
      <c r="M1200" s="65" t="s">
        <v>2429</v>
      </c>
      <c r="N1200" s="65" t="s">
        <v>2430</v>
      </c>
    </row>
    <row r="1201" spans="13:14" x14ac:dyDescent="0.25">
      <c r="M1201" s="65" t="s">
        <v>2431</v>
      </c>
      <c r="N1201" s="65" t="s">
        <v>2432</v>
      </c>
    </row>
    <row r="1202" spans="13:14" x14ac:dyDescent="0.25">
      <c r="M1202" s="65" t="s">
        <v>2433</v>
      </c>
      <c r="N1202" s="65" t="s">
        <v>2434</v>
      </c>
    </row>
    <row r="1203" spans="13:14" x14ac:dyDescent="0.25">
      <c r="M1203" s="65" t="s">
        <v>2435</v>
      </c>
      <c r="N1203" s="65" t="s">
        <v>2436</v>
      </c>
    </row>
    <row r="1204" spans="13:14" x14ac:dyDescent="0.25">
      <c r="M1204" s="65" t="s">
        <v>2437</v>
      </c>
      <c r="N1204" s="65" t="s">
        <v>2438</v>
      </c>
    </row>
    <row r="1205" spans="13:14" x14ac:dyDescent="0.25">
      <c r="M1205" s="65" t="s">
        <v>2439</v>
      </c>
      <c r="N1205" s="65" t="s">
        <v>2440</v>
      </c>
    </row>
    <row r="1206" spans="13:14" x14ac:dyDescent="0.25">
      <c r="M1206" s="65" t="s">
        <v>2441</v>
      </c>
      <c r="N1206" s="65" t="s">
        <v>2442</v>
      </c>
    </row>
    <row r="1207" spans="13:14" x14ac:dyDescent="0.25">
      <c r="M1207" s="65" t="s">
        <v>2443</v>
      </c>
      <c r="N1207" s="65" t="s">
        <v>2444</v>
      </c>
    </row>
    <row r="1208" spans="13:14" x14ac:dyDescent="0.25">
      <c r="M1208" s="65" t="s">
        <v>2445</v>
      </c>
      <c r="N1208" s="65" t="s">
        <v>2446</v>
      </c>
    </row>
    <row r="1209" spans="13:14" x14ac:dyDescent="0.25">
      <c r="M1209" s="65" t="s">
        <v>2447</v>
      </c>
      <c r="N1209" s="65" t="s">
        <v>2448</v>
      </c>
    </row>
    <row r="1210" spans="13:14" x14ac:dyDescent="0.25">
      <c r="M1210" s="65" t="s">
        <v>2449</v>
      </c>
      <c r="N1210" s="65" t="s">
        <v>2450</v>
      </c>
    </row>
    <row r="1211" spans="13:14" x14ac:dyDescent="0.25">
      <c r="M1211" s="65" t="s">
        <v>2451</v>
      </c>
      <c r="N1211" s="65" t="s">
        <v>2452</v>
      </c>
    </row>
    <row r="1212" spans="13:14" x14ac:dyDescent="0.25">
      <c r="M1212" s="65" t="s">
        <v>2453</v>
      </c>
      <c r="N1212" s="65" t="s">
        <v>2454</v>
      </c>
    </row>
    <row r="1213" spans="13:14" x14ac:dyDescent="0.25">
      <c r="M1213" s="65" t="s">
        <v>2455</v>
      </c>
      <c r="N1213" s="65" t="s">
        <v>2456</v>
      </c>
    </row>
    <row r="1214" spans="13:14" x14ac:dyDescent="0.25">
      <c r="M1214" s="65" t="s">
        <v>2457</v>
      </c>
      <c r="N1214" s="65" t="s">
        <v>2458</v>
      </c>
    </row>
    <row r="1215" spans="13:14" x14ac:dyDescent="0.25">
      <c r="M1215" s="65" t="s">
        <v>2459</v>
      </c>
      <c r="N1215" s="65" t="s">
        <v>2460</v>
      </c>
    </row>
    <row r="1216" spans="13:14" x14ac:dyDescent="0.25">
      <c r="M1216" s="65" t="s">
        <v>2461</v>
      </c>
      <c r="N1216" s="65" t="s">
        <v>2462</v>
      </c>
    </row>
    <row r="1217" spans="13:14" x14ac:dyDescent="0.25">
      <c r="M1217" s="65" t="s">
        <v>2463</v>
      </c>
      <c r="N1217" s="65" t="s">
        <v>2464</v>
      </c>
    </row>
    <row r="1218" spans="13:14" x14ac:dyDescent="0.25">
      <c r="M1218" s="65" t="s">
        <v>2465</v>
      </c>
      <c r="N1218" s="65" t="s">
        <v>2466</v>
      </c>
    </row>
    <row r="1219" spans="13:14" x14ac:dyDescent="0.25">
      <c r="M1219" s="65" t="s">
        <v>2467</v>
      </c>
      <c r="N1219" s="65" t="s">
        <v>2468</v>
      </c>
    </row>
    <row r="1220" spans="13:14" x14ac:dyDescent="0.25">
      <c r="M1220" s="65" t="s">
        <v>2469</v>
      </c>
      <c r="N1220" s="65" t="s">
        <v>2470</v>
      </c>
    </row>
    <row r="1221" spans="13:14" x14ac:dyDescent="0.25">
      <c r="M1221" s="65" t="s">
        <v>2471</v>
      </c>
      <c r="N1221" s="65" t="s">
        <v>2472</v>
      </c>
    </row>
    <row r="1222" spans="13:14" x14ac:dyDescent="0.25">
      <c r="M1222" s="65" t="s">
        <v>2473</v>
      </c>
      <c r="N1222" s="65" t="s">
        <v>2474</v>
      </c>
    </row>
    <row r="1223" spans="13:14" x14ac:dyDescent="0.25">
      <c r="M1223" s="65" t="s">
        <v>2475</v>
      </c>
      <c r="N1223" s="65" t="s">
        <v>2476</v>
      </c>
    </row>
    <row r="1224" spans="13:14" x14ac:dyDescent="0.25">
      <c r="M1224" s="65" t="s">
        <v>2477</v>
      </c>
      <c r="N1224" s="65" t="s">
        <v>2478</v>
      </c>
    </row>
    <row r="1225" spans="13:14" x14ac:dyDescent="0.25">
      <c r="M1225" s="65" t="s">
        <v>2479</v>
      </c>
      <c r="N1225" s="65" t="s">
        <v>2480</v>
      </c>
    </row>
    <row r="1226" spans="13:14" x14ac:dyDescent="0.25">
      <c r="M1226" s="65" t="s">
        <v>2481</v>
      </c>
      <c r="N1226" s="65" t="s">
        <v>2482</v>
      </c>
    </row>
    <row r="1227" spans="13:14" x14ac:dyDescent="0.25">
      <c r="M1227" s="65" t="s">
        <v>2483</v>
      </c>
      <c r="N1227" s="65" t="s">
        <v>2484</v>
      </c>
    </row>
    <row r="1228" spans="13:14" x14ac:dyDescent="0.25">
      <c r="M1228" s="65" t="s">
        <v>2485</v>
      </c>
      <c r="N1228" s="65" t="s">
        <v>2486</v>
      </c>
    </row>
    <row r="1229" spans="13:14" x14ac:dyDescent="0.25">
      <c r="M1229" s="65" t="s">
        <v>2487</v>
      </c>
      <c r="N1229" s="65" t="s">
        <v>2488</v>
      </c>
    </row>
    <row r="1230" spans="13:14" x14ac:dyDescent="0.25">
      <c r="M1230" s="65" t="s">
        <v>2489</v>
      </c>
      <c r="N1230" s="65" t="s">
        <v>2490</v>
      </c>
    </row>
    <row r="1231" spans="13:14" x14ac:dyDescent="0.25">
      <c r="M1231" s="65" t="s">
        <v>2491</v>
      </c>
      <c r="N1231" s="65" t="s">
        <v>2492</v>
      </c>
    </row>
    <row r="1232" spans="13:14" x14ac:dyDescent="0.25">
      <c r="M1232" s="65" t="s">
        <v>2493</v>
      </c>
      <c r="N1232" s="65" t="s">
        <v>2494</v>
      </c>
    </row>
    <row r="1233" spans="13:14" x14ac:dyDescent="0.25">
      <c r="M1233" s="65" t="s">
        <v>2495</v>
      </c>
      <c r="N1233" s="65" t="s">
        <v>2496</v>
      </c>
    </row>
    <row r="1234" spans="13:14" x14ac:dyDescent="0.25">
      <c r="M1234" s="65" t="s">
        <v>2497</v>
      </c>
      <c r="N1234" s="65" t="s">
        <v>2498</v>
      </c>
    </row>
    <row r="1235" spans="13:14" x14ac:dyDescent="0.25">
      <c r="M1235" s="65" t="s">
        <v>2499</v>
      </c>
      <c r="N1235" s="65" t="s">
        <v>2500</v>
      </c>
    </row>
    <row r="1236" spans="13:14" x14ac:dyDescent="0.25">
      <c r="M1236" s="65" t="s">
        <v>2501</v>
      </c>
      <c r="N1236" s="65" t="s">
        <v>2502</v>
      </c>
    </row>
    <row r="1237" spans="13:14" x14ac:dyDescent="0.25">
      <c r="M1237" s="65" t="s">
        <v>2503</v>
      </c>
      <c r="N1237" s="65" t="s">
        <v>2504</v>
      </c>
    </row>
    <row r="1238" spans="13:14" x14ac:dyDescent="0.25">
      <c r="M1238" s="65" t="s">
        <v>2505</v>
      </c>
      <c r="N1238" s="65" t="s">
        <v>2506</v>
      </c>
    </row>
    <row r="1239" spans="13:14" x14ac:dyDescent="0.25">
      <c r="M1239" s="65" t="s">
        <v>2507</v>
      </c>
      <c r="N1239" s="65" t="s">
        <v>2508</v>
      </c>
    </row>
    <row r="1240" spans="13:14" x14ac:dyDescent="0.25">
      <c r="M1240" s="65" t="s">
        <v>2509</v>
      </c>
      <c r="N1240" s="65" t="s">
        <v>2510</v>
      </c>
    </row>
    <row r="1241" spans="13:14" x14ac:dyDescent="0.25">
      <c r="M1241" s="65" t="s">
        <v>2511</v>
      </c>
      <c r="N1241" s="65" t="s">
        <v>2512</v>
      </c>
    </row>
    <row r="1242" spans="13:14" x14ac:dyDescent="0.25">
      <c r="M1242" s="65" t="s">
        <v>2513</v>
      </c>
      <c r="N1242" s="65" t="s">
        <v>2514</v>
      </c>
    </row>
    <row r="1243" spans="13:14" x14ac:dyDescent="0.25">
      <c r="M1243" s="65" t="s">
        <v>2515</v>
      </c>
      <c r="N1243" s="65" t="s">
        <v>2516</v>
      </c>
    </row>
    <row r="1244" spans="13:14" x14ac:dyDescent="0.25">
      <c r="M1244" s="65" t="s">
        <v>2517</v>
      </c>
      <c r="N1244" s="65" t="s">
        <v>2518</v>
      </c>
    </row>
    <row r="1245" spans="13:14" x14ac:dyDescent="0.25">
      <c r="M1245" s="65" t="s">
        <v>2519</v>
      </c>
      <c r="N1245" s="65" t="s">
        <v>2520</v>
      </c>
    </row>
    <row r="1246" spans="13:14" x14ac:dyDescent="0.25">
      <c r="M1246" s="65" t="s">
        <v>2521</v>
      </c>
      <c r="N1246" s="65" t="s">
        <v>2522</v>
      </c>
    </row>
    <row r="1247" spans="13:14" x14ac:dyDescent="0.25">
      <c r="M1247" s="65" t="s">
        <v>2523</v>
      </c>
      <c r="N1247" s="65" t="s">
        <v>2524</v>
      </c>
    </row>
    <row r="1248" spans="13:14" x14ac:dyDescent="0.25">
      <c r="M1248" s="65" t="s">
        <v>2525</v>
      </c>
      <c r="N1248" s="65" t="s">
        <v>2526</v>
      </c>
    </row>
    <row r="1249" spans="13:14" x14ac:dyDescent="0.25">
      <c r="M1249" s="65" t="s">
        <v>2527</v>
      </c>
      <c r="N1249" s="65" t="s">
        <v>2528</v>
      </c>
    </row>
    <row r="1250" spans="13:14" x14ac:dyDescent="0.25">
      <c r="M1250" s="65" t="s">
        <v>2529</v>
      </c>
      <c r="N1250" s="65" t="s">
        <v>2530</v>
      </c>
    </row>
    <row r="1251" spans="13:14" x14ac:dyDescent="0.25">
      <c r="M1251" s="65" t="s">
        <v>2531</v>
      </c>
      <c r="N1251" s="65" t="s">
        <v>2532</v>
      </c>
    </row>
    <row r="1252" spans="13:14" x14ac:dyDescent="0.25">
      <c r="M1252" s="65" t="s">
        <v>2533</v>
      </c>
      <c r="N1252" s="65" t="s">
        <v>2534</v>
      </c>
    </row>
    <row r="1253" spans="13:14" x14ac:dyDescent="0.25">
      <c r="M1253" s="65" t="s">
        <v>2535</v>
      </c>
      <c r="N1253" s="65" t="s">
        <v>2536</v>
      </c>
    </row>
    <row r="1254" spans="13:14" x14ac:dyDescent="0.25">
      <c r="M1254" s="65" t="s">
        <v>2537</v>
      </c>
      <c r="N1254" s="65" t="s">
        <v>2538</v>
      </c>
    </row>
    <row r="1255" spans="13:14" x14ac:dyDescent="0.25">
      <c r="M1255" s="65" t="s">
        <v>2539</v>
      </c>
      <c r="N1255" s="65" t="s">
        <v>2540</v>
      </c>
    </row>
    <row r="1256" spans="13:14" x14ac:dyDescent="0.25">
      <c r="M1256" s="65" t="s">
        <v>2541</v>
      </c>
      <c r="N1256" s="65" t="s">
        <v>2542</v>
      </c>
    </row>
    <row r="1257" spans="13:14" x14ac:dyDescent="0.25">
      <c r="M1257" s="65" t="s">
        <v>2543</v>
      </c>
      <c r="N1257" s="65" t="s">
        <v>2544</v>
      </c>
    </row>
    <row r="1258" spans="13:14" x14ac:dyDescent="0.25">
      <c r="M1258" s="65" t="s">
        <v>2545</v>
      </c>
      <c r="N1258" s="65" t="s">
        <v>2546</v>
      </c>
    </row>
    <row r="1259" spans="13:14" x14ac:dyDescent="0.25">
      <c r="M1259" s="65" t="s">
        <v>2547</v>
      </c>
      <c r="N1259" s="65" t="s">
        <v>2548</v>
      </c>
    </row>
    <row r="1260" spans="13:14" x14ac:dyDescent="0.25">
      <c r="M1260" s="65" t="s">
        <v>2549</v>
      </c>
      <c r="N1260" s="65" t="s">
        <v>2550</v>
      </c>
    </row>
    <row r="1261" spans="13:14" x14ac:dyDescent="0.25">
      <c r="M1261" s="65" t="s">
        <v>2551</v>
      </c>
      <c r="N1261" s="65" t="s">
        <v>2552</v>
      </c>
    </row>
    <row r="1262" spans="13:14" x14ac:dyDescent="0.25">
      <c r="M1262" s="65" t="s">
        <v>2553</v>
      </c>
      <c r="N1262" s="65" t="s">
        <v>2554</v>
      </c>
    </row>
    <row r="1263" spans="13:14" x14ac:dyDescent="0.25">
      <c r="M1263" s="65" t="s">
        <v>2555</v>
      </c>
      <c r="N1263" s="65" t="s">
        <v>2556</v>
      </c>
    </row>
    <row r="1264" spans="13:14" x14ac:dyDescent="0.25">
      <c r="M1264" s="65" t="s">
        <v>2557</v>
      </c>
      <c r="N1264" s="65" t="s">
        <v>2558</v>
      </c>
    </row>
    <row r="1265" spans="13:14" x14ac:dyDescent="0.25">
      <c r="M1265" s="65" t="s">
        <v>2559</v>
      </c>
      <c r="N1265" s="65" t="s">
        <v>2560</v>
      </c>
    </row>
    <row r="1266" spans="13:14" x14ac:dyDescent="0.25">
      <c r="M1266" s="65" t="s">
        <v>2561</v>
      </c>
      <c r="N1266" s="65" t="s">
        <v>2562</v>
      </c>
    </row>
    <row r="1267" spans="13:14" x14ac:dyDescent="0.25">
      <c r="M1267" s="65" t="s">
        <v>2563</v>
      </c>
      <c r="N1267" s="65" t="s">
        <v>2564</v>
      </c>
    </row>
    <row r="1268" spans="13:14" x14ac:dyDescent="0.25">
      <c r="M1268" s="65" t="s">
        <v>2565</v>
      </c>
      <c r="N1268" s="65" t="s">
        <v>2566</v>
      </c>
    </row>
    <row r="1269" spans="13:14" x14ac:dyDescent="0.25">
      <c r="M1269" s="65" t="s">
        <v>2567</v>
      </c>
      <c r="N1269" s="65" t="s">
        <v>2568</v>
      </c>
    </row>
    <row r="1270" spans="13:14" x14ac:dyDescent="0.25">
      <c r="M1270" s="65" t="s">
        <v>2569</v>
      </c>
      <c r="N1270" s="65" t="s">
        <v>2570</v>
      </c>
    </row>
    <row r="1271" spans="13:14" x14ac:dyDescent="0.25">
      <c r="M1271" s="65" t="s">
        <v>2571</v>
      </c>
      <c r="N1271" s="65" t="s">
        <v>2572</v>
      </c>
    </row>
    <row r="1272" spans="13:14" x14ac:dyDescent="0.25">
      <c r="M1272" s="65" t="s">
        <v>2573</v>
      </c>
      <c r="N1272" s="65" t="s">
        <v>2574</v>
      </c>
    </row>
    <row r="1273" spans="13:14" x14ac:dyDescent="0.25">
      <c r="M1273" s="65" t="s">
        <v>2575</v>
      </c>
      <c r="N1273" s="65" t="s">
        <v>2576</v>
      </c>
    </row>
    <row r="1274" spans="13:14" x14ac:dyDescent="0.25">
      <c r="M1274" s="65" t="s">
        <v>2577</v>
      </c>
      <c r="N1274" s="65" t="s">
        <v>2578</v>
      </c>
    </row>
    <row r="1275" spans="13:14" x14ac:dyDescent="0.25">
      <c r="M1275" s="65" t="s">
        <v>2579</v>
      </c>
      <c r="N1275" s="65" t="s">
        <v>2580</v>
      </c>
    </row>
    <row r="1276" spans="13:14" x14ac:dyDescent="0.25">
      <c r="M1276" s="65" t="s">
        <v>2581</v>
      </c>
      <c r="N1276" s="65" t="s">
        <v>2582</v>
      </c>
    </row>
    <row r="1277" spans="13:14" x14ac:dyDescent="0.25">
      <c r="M1277" s="65" t="s">
        <v>2583</v>
      </c>
      <c r="N1277" s="65" t="s">
        <v>2584</v>
      </c>
    </row>
    <row r="1278" spans="13:14" x14ac:dyDescent="0.25">
      <c r="M1278" s="65" t="s">
        <v>2585</v>
      </c>
      <c r="N1278" s="65" t="s">
        <v>2586</v>
      </c>
    </row>
    <row r="1279" spans="13:14" x14ac:dyDescent="0.25">
      <c r="M1279" s="65" t="s">
        <v>2587</v>
      </c>
      <c r="N1279" s="65" t="s">
        <v>2588</v>
      </c>
    </row>
    <row r="1280" spans="13:14" x14ac:dyDescent="0.25">
      <c r="M1280" s="65" t="s">
        <v>2589</v>
      </c>
      <c r="N1280" s="65" t="s">
        <v>2590</v>
      </c>
    </row>
    <row r="1281" spans="13:14" x14ac:dyDescent="0.25">
      <c r="M1281" s="65" t="s">
        <v>2591</v>
      </c>
      <c r="N1281" s="65" t="s">
        <v>2592</v>
      </c>
    </row>
    <row r="1282" spans="13:14" x14ac:dyDescent="0.25">
      <c r="M1282" s="65" t="s">
        <v>2593</v>
      </c>
      <c r="N1282" s="65" t="s">
        <v>2594</v>
      </c>
    </row>
    <row r="1283" spans="13:14" x14ac:dyDescent="0.25">
      <c r="M1283" s="65" t="s">
        <v>2595</v>
      </c>
      <c r="N1283" s="65" t="s">
        <v>2596</v>
      </c>
    </row>
    <row r="1284" spans="13:14" x14ac:dyDescent="0.25">
      <c r="M1284" s="65" t="s">
        <v>2597</v>
      </c>
      <c r="N1284" s="65" t="s">
        <v>2598</v>
      </c>
    </row>
    <row r="1285" spans="13:14" x14ac:dyDescent="0.25">
      <c r="M1285" s="65" t="s">
        <v>2599</v>
      </c>
      <c r="N1285" s="65" t="s">
        <v>2600</v>
      </c>
    </row>
    <row r="1286" spans="13:14" x14ac:dyDescent="0.25">
      <c r="M1286" s="65" t="s">
        <v>2601</v>
      </c>
      <c r="N1286" s="65" t="s">
        <v>2602</v>
      </c>
    </row>
    <row r="1287" spans="13:14" x14ac:dyDescent="0.25">
      <c r="M1287" s="65" t="s">
        <v>2603</v>
      </c>
      <c r="N1287" s="65" t="s">
        <v>2604</v>
      </c>
    </row>
    <row r="1288" spans="13:14" x14ac:dyDescent="0.25">
      <c r="M1288" s="65" t="s">
        <v>2605</v>
      </c>
      <c r="N1288" s="65" t="s">
        <v>2606</v>
      </c>
    </row>
    <row r="1289" spans="13:14" x14ac:dyDescent="0.25">
      <c r="M1289" s="65" t="s">
        <v>2607</v>
      </c>
      <c r="N1289" s="65" t="s">
        <v>2608</v>
      </c>
    </row>
    <row r="1290" spans="13:14" x14ac:dyDescent="0.25">
      <c r="M1290" s="65" t="s">
        <v>2609</v>
      </c>
      <c r="N1290" s="65" t="s">
        <v>2610</v>
      </c>
    </row>
    <row r="1291" spans="13:14" x14ac:dyDescent="0.25">
      <c r="M1291" s="65" t="s">
        <v>2611</v>
      </c>
      <c r="N1291" s="65" t="s">
        <v>2612</v>
      </c>
    </row>
    <row r="1292" spans="13:14" x14ac:dyDescent="0.25">
      <c r="M1292" s="65" t="s">
        <v>2613</v>
      </c>
      <c r="N1292" s="65" t="s">
        <v>2614</v>
      </c>
    </row>
    <row r="1293" spans="13:14" x14ac:dyDescent="0.25">
      <c r="M1293" s="65" t="s">
        <v>2615</v>
      </c>
      <c r="N1293" s="65" t="s">
        <v>2616</v>
      </c>
    </row>
    <row r="1294" spans="13:14" x14ac:dyDescent="0.25">
      <c r="M1294" s="65" t="s">
        <v>2617</v>
      </c>
      <c r="N1294" s="65" t="s">
        <v>2618</v>
      </c>
    </row>
    <row r="1295" spans="13:14" x14ac:dyDescent="0.25">
      <c r="M1295" s="65" t="s">
        <v>2619</v>
      </c>
      <c r="N1295" s="65" t="s">
        <v>2620</v>
      </c>
    </row>
    <row r="1296" spans="13:14" x14ac:dyDescent="0.25">
      <c r="M1296" s="65" t="s">
        <v>2621</v>
      </c>
      <c r="N1296" s="65" t="s">
        <v>2622</v>
      </c>
    </row>
    <row r="1297" spans="13:14" x14ac:dyDescent="0.25">
      <c r="M1297" s="65" t="s">
        <v>2623</v>
      </c>
      <c r="N1297" s="65" t="s">
        <v>2624</v>
      </c>
    </row>
    <row r="1298" spans="13:14" x14ac:dyDescent="0.25">
      <c r="M1298" s="65" t="s">
        <v>2625</v>
      </c>
      <c r="N1298" s="65" t="s">
        <v>2626</v>
      </c>
    </row>
    <row r="1299" spans="13:14" x14ac:dyDescent="0.25">
      <c r="M1299" s="65" t="s">
        <v>2627</v>
      </c>
      <c r="N1299" s="65" t="s">
        <v>2628</v>
      </c>
    </row>
    <row r="1300" spans="13:14" x14ac:dyDescent="0.25">
      <c r="M1300" s="65" t="s">
        <v>2629</v>
      </c>
      <c r="N1300" s="65" t="s">
        <v>2630</v>
      </c>
    </row>
    <row r="1301" spans="13:14" x14ac:dyDescent="0.25">
      <c r="M1301" s="65" t="s">
        <v>2631</v>
      </c>
      <c r="N1301" s="65" t="s">
        <v>2632</v>
      </c>
    </row>
    <row r="1302" spans="13:14" x14ac:dyDescent="0.25">
      <c r="M1302" s="65" t="s">
        <v>2633</v>
      </c>
      <c r="N1302" s="65" t="s">
        <v>2634</v>
      </c>
    </row>
    <row r="1303" spans="13:14" x14ac:dyDescent="0.25">
      <c r="M1303" s="65" t="s">
        <v>2635</v>
      </c>
      <c r="N1303" s="65" t="s">
        <v>2636</v>
      </c>
    </row>
    <row r="1304" spans="13:14" x14ac:dyDescent="0.25">
      <c r="M1304" s="65" t="s">
        <v>2637</v>
      </c>
      <c r="N1304" s="65" t="s">
        <v>2638</v>
      </c>
    </row>
    <row r="1305" spans="13:14" x14ac:dyDescent="0.25">
      <c r="M1305" s="65" t="s">
        <v>2639</v>
      </c>
      <c r="N1305" s="65" t="s">
        <v>2640</v>
      </c>
    </row>
    <row r="1306" spans="13:14" x14ac:dyDescent="0.25">
      <c r="M1306" s="65" t="s">
        <v>2641</v>
      </c>
      <c r="N1306" s="65" t="s">
        <v>2642</v>
      </c>
    </row>
    <row r="1307" spans="13:14" x14ac:dyDescent="0.25">
      <c r="M1307" s="65" t="s">
        <v>2643</v>
      </c>
      <c r="N1307" s="65" t="s">
        <v>2644</v>
      </c>
    </row>
    <row r="1308" spans="13:14" x14ac:dyDescent="0.25">
      <c r="M1308" s="65" t="s">
        <v>2645</v>
      </c>
      <c r="N1308" s="65" t="s">
        <v>2646</v>
      </c>
    </row>
    <row r="1309" spans="13:14" x14ac:dyDescent="0.25">
      <c r="M1309" s="65" t="s">
        <v>2647</v>
      </c>
      <c r="N1309" s="65" t="s">
        <v>2648</v>
      </c>
    </row>
    <row r="1310" spans="13:14" x14ac:dyDescent="0.25">
      <c r="M1310" s="65" t="s">
        <v>2649</v>
      </c>
      <c r="N1310" s="65" t="s">
        <v>2650</v>
      </c>
    </row>
    <row r="1311" spans="13:14" x14ac:dyDescent="0.25">
      <c r="M1311" s="65" t="s">
        <v>2651</v>
      </c>
      <c r="N1311" s="65" t="s">
        <v>2652</v>
      </c>
    </row>
    <row r="1312" spans="13:14" x14ac:dyDescent="0.25">
      <c r="M1312" s="65" t="s">
        <v>2653</v>
      </c>
      <c r="N1312" s="65" t="s">
        <v>2654</v>
      </c>
    </row>
    <row r="1313" spans="13:14" x14ac:dyDescent="0.25">
      <c r="M1313" s="65" t="s">
        <v>2655</v>
      </c>
      <c r="N1313" s="65" t="s">
        <v>2656</v>
      </c>
    </row>
    <row r="1314" spans="13:14" x14ac:dyDescent="0.25">
      <c r="M1314" s="65" t="s">
        <v>2657</v>
      </c>
      <c r="N1314" s="65" t="s">
        <v>2658</v>
      </c>
    </row>
    <row r="1315" spans="13:14" x14ac:dyDescent="0.25">
      <c r="M1315" s="65" t="s">
        <v>2659</v>
      </c>
      <c r="N1315" s="65" t="s">
        <v>2660</v>
      </c>
    </row>
    <row r="1316" spans="13:14" x14ac:dyDescent="0.25">
      <c r="M1316" s="65" t="s">
        <v>2661</v>
      </c>
      <c r="N1316" s="65" t="s">
        <v>2662</v>
      </c>
    </row>
    <row r="1317" spans="13:14" x14ac:dyDescent="0.25">
      <c r="M1317" s="65" t="s">
        <v>2663</v>
      </c>
      <c r="N1317" s="65" t="s">
        <v>2664</v>
      </c>
    </row>
    <row r="1318" spans="13:14" x14ac:dyDescent="0.25">
      <c r="M1318" s="65" t="s">
        <v>2665</v>
      </c>
      <c r="N1318" s="65" t="s">
        <v>2666</v>
      </c>
    </row>
    <row r="1319" spans="13:14" x14ac:dyDescent="0.25">
      <c r="M1319" s="65" t="s">
        <v>2667</v>
      </c>
      <c r="N1319" s="65" t="s">
        <v>2668</v>
      </c>
    </row>
    <row r="1320" spans="13:14" x14ac:dyDescent="0.25">
      <c r="M1320" s="65" t="s">
        <v>2669</v>
      </c>
      <c r="N1320" s="65" t="s">
        <v>2670</v>
      </c>
    </row>
    <row r="1321" spans="13:14" x14ac:dyDescent="0.25">
      <c r="M1321" s="65" t="s">
        <v>2671</v>
      </c>
      <c r="N1321" s="65" t="s">
        <v>2672</v>
      </c>
    </row>
    <row r="1322" spans="13:14" x14ac:dyDescent="0.25">
      <c r="M1322" s="65" t="s">
        <v>2673</v>
      </c>
      <c r="N1322" s="65" t="s">
        <v>2674</v>
      </c>
    </row>
    <row r="1323" spans="13:14" x14ac:dyDescent="0.25">
      <c r="M1323" s="65" t="s">
        <v>2675</v>
      </c>
      <c r="N1323" s="65" t="s">
        <v>2676</v>
      </c>
    </row>
    <row r="1324" spans="13:14" x14ac:dyDescent="0.25">
      <c r="M1324" s="65" t="s">
        <v>2677</v>
      </c>
      <c r="N1324" s="65" t="s">
        <v>2678</v>
      </c>
    </row>
    <row r="1325" spans="13:14" x14ac:dyDescent="0.25">
      <c r="M1325" s="65" t="s">
        <v>2679</v>
      </c>
      <c r="N1325" s="65" t="s">
        <v>2680</v>
      </c>
    </row>
    <row r="1326" spans="13:14" x14ac:dyDescent="0.25">
      <c r="M1326" s="65" t="s">
        <v>2681</v>
      </c>
      <c r="N1326" s="65" t="s">
        <v>2682</v>
      </c>
    </row>
    <row r="1327" spans="13:14" x14ac:dyDescent="0.25">
      <c r="M1327" s="65" t="s">
        <v>2683</v>
      </c>
      <c r="N1327" s="65" t="s">
        <v>2684</v>
      </c>
    </row>
    <row r="1328" spans="13:14" x14ac:dyDescent="0.25">
      <c r="M1328" s="65" t="s">
        <v>2685</v>
      </c>
      <c r="N1328" s="65" t="s">
        <v>2686</v>
      </c>
    </row>
    <row r="1329" spans="13:14" x14ac:dyDescent="0.25">
      <c r="M1329" s="65" t="s">
        <v>2687</v>
      </c>
      <c r="N1329" s="65" t="s">
        <v>2688</v>
      </c>
    </row>
    <row r="1330" spans="13:14" x14ac:dyDescent="0.25">
      <c r="M1330" s="65" t="s">
        <v>2689</v>
      </c>
      <c r="N1330" s="65" t="s">
        <v>2690</v>
      </c>
    </row>
    <row r="1331" spans="13:14" x14ac:dyDescent="0.25">
      <c r="M1331" s="65" t="s">
        <v>2691</v>
      </c>
      <c r="N1331" s="65" t="s">
        <v>2692</v>
      </c>
    </row>
    <row r="1332" spans="13:14" x14ac:dyDescent="0.25">
      <c r="M1332" s="65" t="s">
        <v>2693</v>
      </c>
      <c r="N1332" s="65" t="s">
        <v>2694</v>
      </c>
    </row>
    <row r="1333" spans="13:14" x14ac:dyDescent="0.25">
      <c r="M1333" s="65" t="s">
        <v>2695</v>
      </c>
      <c r="N1333" s="65" t="s">
        <v>2696</v>
      </c>
    </row>
    <row r="1334" spans="13:14" x14ac:dyDescent="0.25">
      <c r="M1334" s="65" t="s">
        <v>2697</v>
      </c>
      <c r="N1334" s="65" t="s">
        <v>2698</v>
      </c>
    </row>
    <row r="1335" spans="13:14" x14ac:dyDescent="0.25">
      <c r="M1335" s="65" t="s">
        <v>2699</v>
      </c>
      <c r="N1335" s="65" t="s">
        <v>2700</v>
      </c>
    </row>
    <row r="1336" spans="13:14" x14ac:dyDescent="0.25">
      <c r="M1336" s="65" t="s">
        <v>2701</v>
      </c>
      <c r="N1336" s="65" t="s">
        <v>2702</v>
      </c>
    </row>
    <row r="1337" spans="13:14" x14ac:dyDescent="0.25">
      <c r="M1337" s="65" t="s">
        <v>2703</v>
      </c>
      <c r="N1337" s="65" t="s">
        <v>2704</v>
      </c>
    </row>
    <row r="1338" spans="13:14" x14ac:dyDescent="0.25">
      <c r="M1338" s="65" t="s">
        <v>2705</v>
      </c>
      <c r="N1338" s="65" t="s">
        <v>2706</v>
      </c>
    </row>
    <row r="1339" spans="13:14" x14ac:dyDescent="0.25">
      <c r="M1339" s="65" t="s">
        <v>2707</v>
      </c>
      <c r="N1339" s="65" t="s">
        <v>2708</v>
      </c>
    </row>
    <row r="1340" spans="13:14" x14ac:dyDescent="0.25">
      <c r="M1340" s="65" t="s">
        <v>2709</v>
      </c>
      <c r="N1340" s="65" t="s">
        <v>2710</v>
      </c>
    </row>
    <row r="1341" spans="13:14" x14ac:dyDescent="0.25">
      <c r="M1341" s="65" t="s">
        <v>2711</v>
      </c>
      <c r="N1341" s="65" t="s">
        <v>2712</v>
      </c>
    </row>
    <row r="1342" spans="13:14" x14ac:dyDescent="0.25">
      <c r="M1342" s="65" t="s">
        <v>2713</v>
      </c>
      <c r="N1342" s="65" t="s">
        <v>2714</v>
      </c>
    </row>
    <row r="1343" spans="13:14" x14ac:dyDescent="0.25">
      <c r="M1343" s="65" t="s">
        <v>2715</v>
      </c>
      <c r="N1343" s="65" t="s">
        <v>2716</v>
      </c>
    </row>
    <row r="1344" spans="13:14" x14ac:dyDescent="0.25">
      <c r="M1344" s="65" t="s">
        <v>2717</v>
      </c>
      <c r="N1344" s="65" t="s">
        <v>2718</v>
      </c>
    </row>
    <row r="1345" spans="13:14" x14ac:dyDescent="0.25">
      <c r="M1345" s="65" t="s">
        <v>2719</v>
      </c>
      <c r="N1345" s="65" t="s">
        <v>2720</v>
      </c>
    </row>
    <row r="1346" spans="13:14" x14ac:dyDescent="0.25">
      <c r="M1346" s="65" t="s">
        <v>2721</v>
      </c>
      <c r="N1346" s="65" t="s">
        <v>2722</v>
      </c>
    </row>
    <row r="1347" spans="13:14" x14ac:dyDescent="0.25">
      <c r="M1347" s="65" t="s">
        <v>2723</v>
      </c>
      <c r="N1347" s="65" t="s">
        <v>2724</v>
      </c>
    </row>
    <row r="1348" spans="13:14" x14ac:dyDescent="0.25">
      <c r="M1348" s="65" t="s">
        <v>2725</v>
      </c>
      <c r="N1348" s="65" t="s">
        <v>2726</v>
      </c>
    </row>
    <row r="1349" spans="13:14" x14ac:dyDescent="0.25">
      <c r="M1349" s="65" t="s">
        <v>2727</v>
      </c>
      <c r="N1349" s="65" t="s">
        <v>2728</v>
      </c>
    </row>
    <row r="1350" spans="13:14" x14ac:dyDescent="0.25">
      <c r="M1350" s="65" t="s">
        <v>2729</v>
      </c>
      <c r="N1350" s="65" t="s">
        <v>2730</v>
      </c>
    </row>
    <row r="1351" spans="13:14" x14ac:dyDescent="0.25">
      <c r="M1351" s="65" t="s">
        <v>2731</v>
      </c>
      <c r="N1351" s="65" t="s">
        <v>2732</v>
      </c>
    </row>
    <row r="1352" spans="13:14" x14ac:dyDescent="0.25">
      <c r="M1352" s="65" t="s">
        <v>2733</v>
      </c>
      <c r="N1352" s="65" t="s">
        <v>2734</v>
      </c>
    </row>
    <row r="1353" spans="13:14" x14ac:dyDescent="0.25">
      <c r="M1353" s="65" t="s">
        <v>2735</v>
      </c>
      <c r="N1353" s="65" t="s">
        <v>2736</v>
      </c>
    </row>
    <row r="1354" spans="13:14" x14ac:dyDescent="0.25">
      <c r="M1354" s="65" t="s">
        <v>2737</v>
      </c>
      <c r="N1354" s="65" t="s">
        <v>2738</v>
      </c>
    </row>
    <row r="1355" spans="13:14" x14ac:dyDescent="0.25">
      <c r="M1355" s="65" t="s">
        <v>2739</v>
      </c>
      <c r="N1355" s="65" t="s">
        <v>2740</v>
      </c>
    </row>
    <row r="1356" spans="13:14" x14ac:dyDescent="0.25">
      <c r="M1356" s="65" t="s">
        <v>2741</v>
      </c>
      <c r="N1356" s="65" t="s">
        <v>2742</v>
      </c>
    </row>
    <row r="1357" spans="13:14" x14ac:dyDescent="0.25">
      <c r="M1357" s="65" t="s">
        <v>2743</v>
      </c>
      <c r="N1357" s="65" t="s">
        <v>2744</v>
      </c>
    </row>
    <row r="1358" spans="13:14" x14ac:dyDescent="0.25">
      <c r="M1358" s="65" t="s">
        <v>2745</v>
      </c>
      <c r="N1358" s="65" t="s">
        <v>2746</v>
      </c>
    </row>
    <row r="1359" spans="13:14" x14ac:dyDescent="0.25">
      <c r="M1359" s="65" t="s">
        <v>2747</v>
      </c>
      <c r="N1359" s="65" t="s">
        <v>2748</v>
      </c>
    </row>
    <row r="1360" spans="13:14" x14ac:dyDescent="0.25">
      <c r="M1360" s="65" t="s">
        <v>2749</v>
      </c>
      <c r="N1360" s="65" t="s">
        <v>2750</v>
      </c>
    </row>
    <row r="1361" spans="13:14" x14ac:dyDescent="0.25">
      <c r="M1361" s="65" t="s">
        <v>2751</v>
      </c>
      <c r="N1361" s="65" t="s">
        <v>2752</v>
      </c>
    </row>
    <row r="1362" spans="13:14" x14ac:dyDescent="0.25">
      <c r="M1362" s="65" t="s">
        <v>2753</v>
      </c>
      <c r="N1362" s="65" t="s">
        <v>2754</v>
      </c>
    </row>
    <row r="1363" spans="13:14" x14ac:dyDescent="0.25">
      <c r="M1363" s="65" t="s">
        <v>2755</v>
      </c>
      <c r="N1363" s="65" t="s">
        <v>2756</v>
      </c>
    </row>
    <row r="1364" spans="13:14" x14ac:dyDescent="0.25">
      <c r="M1364" s="65" t="s">
        <v>2757</v>
      </c>
      <c r="N1364" s="65" t="s">
        <v>2758</v>
      </c>
    </row>
    <row r="1365" spans="13:14" x14ac:dyDescent="0.25">
      <c r="M1365" s="65" t="s">
        <v>2759</v>
      </c>
      <c r="N1365" s="65" t="s">
        <v>2760</v>
      </c>
    </row>
    <row r="1366" spans="13:14" x14ac:dyDescent="0.25">
      <c r="M1366" s="65" t="s">
        <v>2761</v>
      </c>
      <c r="N1366" s="65" t="s">
        <v>2762</v>
      </c>
    </row>
    <row r="1367" spans="13:14" x14ac:dyDescent="0.25">
      <c r="M1367" s="65" t="s">
        <v>2763</v>
      </c>
      <c r="N1367" s="65" t="s">
        <v>2764</v>
      </c>
    </row>
    <row r="1368" spans="13:14" x14ac:dyDescent="0.25">
      <c r="M1368" s="65" t="s">
        <v>2765</v>
      </c>
      <c r="N1368" s="65" t="s">
        <v>2766</v>
      </c>
    </row>
    <row r="1369" spans="13:14" x14ac:dyDescent="0.25">
      <c r="M1369" s="65" t="s">
        <v>2767</v>
      </c>
      <c r="N1369" s="65" t="s">
        <v>2768</v>
      </c>
    </row>
    <row r="1370" spans="13:14" x14ac:dyDescent="0.25">
      <c r="M1370" s="65" t="s">
        <v>2769</v>
      </c>
      <c r="N1370" s="65" t="s">
        <v>2770</v>
      </c>
    </row>
    <row r="1371" spans="13:14" x14ac:dyDescent="0.25">
      <c r="M1371" s="65" t="s">
        <v>2771</v>
      </c>
      <c r="N1371" s="65" t="s">
        <v>2772</v>
      </c>
    </row>
    <row r="1372" spans="13:14" x14ac:dyDescent="0.25">
      <c r="M1372" s="65" t="s">
        <v>2773</v>
      </c>
      <c r="N1372" s="65" t="s">
        <v>2774</v>
      </c>
    </row>
    <row r="1373" spans="13:14" x14ac:dyDescent="0.25">
      <c r="M1373" s="65" t="s">
        <v>2775</v>
      </c>
      <c r="N1373" s="65" t="s">
        <v>2776</v>
      </c>
    </row>
    <row r="1374" spans="13:14" x14ac:dyDescent="0.25">
      <c r="M1374" s="65" t="s">
        <v>2777</v>
      </c>
      <c r="N1374" s="65" t="s">
        <v>2778</v>
      </c>
    </row>
    <row r="1375" spans="13:14" x14ac:dyDescent="0.25">
      <c r="M1375" s="65" t="s">
        <v>2779</v>
      </c>
      <c r="N1375" s="65" t="s">
        <v>2780</v>
      </c>
    </row>
    <row r="1376" spans="13:14" x14ac:dyDescent="0.25">
      <c r="M1376" s="65" t="s">
        <v>2781</v>
      </c>
      <c r="N1376" s="65" t="s">
        <v>2782</v>
      </c>
    </row>
    <row r="1377" spans="13:14" x14ac:dyDescent="0.25">
      <c r="M1377" s="65" t="s">
        <v>2783</v>
      </c>
      <c r="N1377" s="65" t="s">
        <v>2784</v>
      </c>
    </row>
    <row r="1378" spans="13:14" x14ac:dyDescent="0.25">
      <c r="M1378" s="65" t="s">
        <v>2785</v>
      </c>
      <c r="N1378" s="65" t="s">
        <v>2786</v>
      </c>
    </row>
    <row r="1379" spans="13:14" x14ac:dyDescent="0.25">
      <c r="M1379" s="65" t="s">
        <v>2787</v>
      </c>
      <c r="N1379" s="65" t="s">
        <v>2788</v>
      </c>
    </row>
    <row r="1380" spans="13:14" x14ac:dyDescent="0.25">
      <c r="M1380" s="65" t="s">
        <v>2789</v>
      </c>
      <c r="N1380" s="65" t="s">
        <v>2790</v>
      </c>
    </row>
    <row r="1381" spans="13:14" x14ac:dyDescent="0.25">
      <c r="M1381" s="65" t="s">
        <v>2791</v>
      </c>
      <c r="N1381" s="65" t="s">
        <v>2792</v>
      </c>
    </row>
    <row r="1382" spans="13:14" x14ac:dyDescent="0.25">
      <c r="M1382" s="65" t="s">
        <v>2793</v>
      </c>
      <c r="N1382" s="65" t="s">
        <v>2794</v>
      </c>
    </row>
    <row r="1383" spans="13:14" x14ac:dyDescent="0.25">
      <c r="M1383" s="65" t="s">
        <v>2795</v>
      </c>
      <c r="N1383" s="65" t="s">
        <v>2796</v>
      </c>
    </row>
    <row r="1384" spans="13:14" x14ac:dyDescent="0.25">
      <c r="M1384" s="65" t="s">
        <v>2797</v>
      </c>
      <c r="N1384" s="65" t="s">
        <v>2798</v>
      </c>
    </row>
    <row r="1385" spans="13:14" x14ac:dyDescent="0.25">
      <c r="M1385" s="65" t="s">
        <v>2799</v>
      </c>
      <c r="N1385" s="65" t="s">
        <v>2800</v>
      </c>
    </row>
    <row r="1386" spans="13:14" x14ac:dyDescent="0.25">
      <c r="M1386" s="65" t="s">
        <v>2801</v>
      </c>
      <c r="N1386" s="65" t="s">
        <v>2802</v>
      </c>
    </row>
    <row r="1387" spans="13:14" x14ac:dyDescent="0.25">
      <c r="M1387" s="65" t="s">
        <v>2803</v>
      </c>
      <c r="N1387" s="65" t="s">
        <v>2804</v>
      </c>
    </row>
    <row r="1388" spans="13:14" x14ac:dyDescent="0.25">
      <c r="M1388" s="65" t="s">
        <v>2805</v>
      </c>
      <c r="N1388" s="65" t="s">
        <v>2806</v>
      </c>
    </row>
    <row r="1389" spans="13:14" x14ac:dyDescent="0.25">
      <c r="M1389" s="65" t="s">
        <v>2807</v>
      </c>
      <c r="N1389" s="65" t="s">
        <v>2808</v>
      </c>
    </row>
    <row r="1390" spans="13:14" x14ac:dyDescent="0.25">
      <c r="M1390" s="65" t="s">
        <v>2809</v>
      </c>
      <c r="N1390" s="65" t="s">
        <v>2810</v>
      </c>
    </row>
    <row r="1391" spans="13:14" x14ac:dyDescent="0.25">
      <c r="M1391" s="65" t="s">
        <v>2811</v>
      </c>
      <c r="N1391" s="65" t="s">
        <v>2812</v>
      </c>
    </row>
    <row r="1392" spans="13:14" x14ac:dyDescent="0.25">
      <c r="M1392" s="65" t="s">
        <v>2813</v>
      </c>
      <c r="N1392" s="65" t="s">
        <v>2814</v>
      </c>
    </row>
    <row r="1393" spans="13:14" x14ac:dyDescent="0.25">
      <c r="M1393" s="65" t="s">
        <v>2815</v>
      </c>
      <c r="N1393" s="65" t="s">
        <v>2816</v>
      </c>
    </row>
    <row r="1394" spans="13:14" x14ac:dyDescent="0.25">
      <c r="M1394" s="65" t="s">
        <v>2817</v>
      </c>
      <c r="N1394" s="65" t="s">
        <v>2818</v>
      </c>
    </row>
    <row r="1395" spans="13:14" x14ac:dyDescent="0.25">
      <c r="M1395" s="65" t="s">
        <v>2819</v>
      </c>
      <c r="N1395" s="65" t="s">
        <v>2820</v>
      </c>
    </row>
    <row r="1396" spans="13:14" x14ac:dyDescent="0.25">
      <c r="M1396" s="65" t="s">
        <v>2821</v>
      </c>
      <c r="N1396" s="65" t="s">
        <v>2822</v>
      </c>
    </row>
    <row r="1397" spans="13:14" x14ac:dyDescent="0.25">
      <c r="M1397" s="65" t="s">
        <v>2823</v>
      </c>
      <c r="N1397" s="65" t="s">
        <v>2824</v>
      </c>
    </row>
    <row r="1398" spans="13:14" x14ac:dyDescent="0.25">
      <c r="M1398" s="65" t="s">
        <v>2825</v>
      </c>
      <c r="N1398" s="65" t="s">
        <v>2826</v>
      </c>
    </row>
    <row r="1399" spans="13:14" x14ac:dyDescent="0.25">
      <c r="M1399" s="65" t="s">
        <v>2827</v>
      </c>
      <c r="N1399" s="65" t="s">
        <v>2828</v>
      </c>
    </row>
    <row r="1400" spans="13:14" x14ac:dyDescent="0.25">
      <c r="M1400" s="65" t="s">
        <v>2829</v>
      </c>
      <c r="N1400" s="65" t="s">
        <v>2830</v>
      </c>
    </row>
    <row r="1401" spans="13:14" x14ac:dyDescent="0.25">
      <c r="M1401" s="65" t="s">
        <v>2831</v>
      </c>
      <c r="N1401" s="65" t="s">
        <v>2832</v>
      </c>
    </row>
    <row r="1402" spans="13:14" x14ac:dyDescent="0.25">
      <c r="M1402" s="65" t="s">
        <v>2833</v>
      </c>
      <c r="N1402" s="65" t="s">
        <v>2834</v>
      </c>
    </row>
    <row r="1403" spans="13:14" x14ac:dyDescent="0.25">
      <c r="M1403" s="65" t="s">
        <v>2835</v>
      </c>
      <c r="N1403" s="65" t="s">
        <v>2836</v>
      </c>
    </row>
    <row r="1404" spans="13:14" x14ac:dyDescent="0.25">
      <c r="M1404" s="65" t="s">
        <v>2837</v>
      </c>
      <c r="N1404" s="65" t="s">
        <v>2838</v>
      </c>
    </row>
    <row r="1405" spans="13:14" x14ac:dyDescent="0.25">
      <c r="M1405" s="65" t="s">
        <v>2839</v>
      </c>
      <c r="N1405" s="65" t="s">
        <v>2840</v>
      </c>
    </row>
    <row r="1406" spans="13:14" x14ac:dyDescent="0.25">
      <c r="M1406" s="65" t="s">
        <v>2841</v>
      </c>
      <c r="N1406" s="65" t="s">
        <v>2842</v>
      </c>
    </row>
    <row r="1407" spans="13:14" x14ac:dyDescent="0.25">
      <c r="M1407" s="65" t="s">
        <v>2843</v>
      </c>
      <c r="N1407" s="65" t="s">
        <v>2844</v>
      </c>
    </row>
    <row r="1408" spans="13:14" x14ac:dyDescent="0.25">
      <c r="M1408" s="65" t="s">
        <v>2845</v>
      </c>
      <c r="N1408" s="65" t="s">
        <v>2846</v>
      </c>
    </row>
    <row r="1409" spans="13:14" x14ac:dyDescent="0.25">
      <c r="M1409" s="65" t="s">
        <v>2847</v>
      </c>
      <c r="N1409" s="65" t="s">
        <v>2848</v>
      </c>
    </row>
    <row r="1410" spans="13:14" x14ac:dyDescent="0.25">
      <c r="M1410" s="65" t="s">
        <v>2849</v>
      </c>
      <c r="N1410" s="65" t="s">
        <v>2850</v>
      </c>
    </row>
    <row r="1411" spans="13:14" x14ac:dyDescent="0.25">
      <c r="M1411" s="65" t="s">
        <v>2851</v>
      </c>
      <c r="N1411" s="65" t="s">
        <v>2852</v>
      </c>
    </row>
    <row r="1412" spans="13:14" x14ac:dyDescent="0.25">
      <c r="M1412" s="65" t="s">
        <v>2853</v>
      </c>
      <c r="N1412" s="65" t="s">
        <v>2854</v>
      </c>
    </row>
    <row r="1413" spans="13:14" x14ac:dyDescent="0.25">
      <c r="M1413" s="65" t="s">
        <v>2855</v>
      </c>
      <c r="N1413" s="65" t="s">
        <v>2856</v>
      </c>
    </row>
    <row r="1414" spans="13:14" x14ac:dyDescent="0.25">
      <c r="M1414" s="65" t="s">
        <v>2857</v>
      </c>
      <c r="N1414" s="65" t="s">
        <v>2858</v>
      </c>
    </row>
    <row r="1415" spans="13:14" x14ac:dyDescent="0.25">
      <c r="M1415" s="65" t="s">
        <v>2859</v>
      </c>
      <c r="N1415" s="65" t="s">
        <v>2860</v>
      </c>
    </row>
    <row r="1416" spans="13:14" x14ac:dyDescent="0.25">
      <c r="M1416" s="65" t="s">
        <v>2861</v>
      </c>
      <c r="N1416" s="65" t="s">
        <v>2862</v>
      </c>
    </row>
    <row r="1417" spans="13:14" x14ac:dyDescent="0.25">
      <c r="M1417" s="65" t="s">
        <v>2863</v>
      </c>
      <c r="N1417" s="65" t="s">
        <v>2864</v>
      </c>
    </row>
    <row r="1418" spans="13:14" x14ac:dyDescent="0.25">
      <c r="M1418" s="65" t="s">
        <v>2865</v>
      </c>
      <c r="N1418" s="65" t="s">
        <v>2866</v>
      </c>
    </row>
    <row r="1419" spans="13:14" x14ac:dyDescent="0.25">
      <c r="M1419" s="65" t="s">
        <v>2867</v>
      </c>
      <c r="N1419" s="65" t="s">
        <v>2868</v>
      </c>
    </row>
    <row r="1420" spans="13:14" x14ac:dyDescent="0.25">
      <c r="M1420" s="65" t="s">
        <v>2869</v>
      </c>
      <c r="N1420" s="65" t="s">
        <v>2870</v>
      </c>
    </row>
    <row r="1421" spans="13:14" x14ac:dyDescent="0.25">
      <c r="M1421" s="65" t="s">
        <v>2871</v>
      </c>
      <c r="N1421" s="65" t="s">
        <v>2872</v>
      </c>
    </row>
    <row r="1422" spans="13:14" x14ac:dyDescent="0.25">
      <c r="M1422" s="65" t="s">
        <v>2873</v>
      </c>
      <c r="N1422" s="65" t="s">
        <v>2874</v>
      </c>
    </row>
    <row r="1423" spans="13:14" x14ac:dyDescent="0.25">
      <c r="M1423" s="65" t="s">
        <v>2875</v>
      </c>
      <c r="N1423" s="65" t="s">
        <v>2876</v>
      </c>
    </row>
    <row r="1424" spans="13:14" x14ac:dyDescent="0.25">
      <c r="M1424" s="65" t="s">
        <v>2877</v>
      </c>
      <c r="N1424" s="65" t="s">
        <v>2878</v>
      </c>
    </row>
    <row r="1425" spans="13:14" x14ac:dyDescent="0.25">
      <c r="M1425" s="65" t="s">
        <v>2879</v>
      </c>
      <c r="N1425" s="65" t="s">
        <v>2880</v>
      </c>
    </row>
    <row r="1426" spans="13:14" x14ac:dyDescent="0.25">
      <c r="M1426" s="65" t="s">
        <v>2881</v>
      </c>
      <c r="N1426" s="65" t="s">
        <v>2882</v>
      </c>
    </row>
    <row r="1427" spans="13:14" x14ac:dyDescent="0.25">
      <c r="M1427" s="65" t="s">
        <v>2883</v>
      </c>
      <c r="N1427" s="65" t="s">
        <v>2884</v>
      </c>
    </row>
    <row r="1428" spans="13:14" x14ac:dyDescent="0.25">
      <c r="M1428" s="65" t="s">
        <v>2885</v>
      </c>
      <c r="N1428" s="65" t="s">
        <v>2886</v>
      </c>
    </row>
    <row r="1429" spans="13:14" x14ac:dyDescent="0.25">
      <c r="M1429" s="65" t="s">
        <v>2887</v>
      </c>
      <c r="N1429" s="65" t="s">
        <v>2888</v>
      </c>
    </row>
    <row r="1430" spans="13:14" x14ac:dyDescent="0.25">
      <c r="M1430" s="65" t="s">
        <v>2889</v>
      </c>
      <c r="N1430" s="65" t="s">
        <v>2890</v>
      </c>
    </row>
    <row r="1431" spans="13:14" x14ac:dyDescent="0.25">
      <c r="M1431" s="65" t="s">
        <v>2891</v>
      </c>
      <c r="N1431" s="65" t="s">
        <v>2892</v>
      </c>
    </row>
    <row r="1432" spans="13:14" x14ac:dyDescent="0.25">
      <c r="M1432" s="65" t="s">
        <v>2893</v>
      </c>
      <c r="N1432" s="65" t="s">
        <v>2894</v>
      </c>
    </row>
    <row r="1433" spans="13:14" x14ac:dyDescent="0.25">
      <c r="M1433" s="65" t="s">
        <v>2895</v>
      </c>
      <c r="N1433" s="65" t="s">
        <v>2896</v>
      </c>
    </row>
    <row r="1434" spans="13:14" x14ac:dyDescent="0.25">
      <c r="M1434" s="65" t="s">
        <v>2897</v>
      </c>
      <c r="N1434" s="65" t="s">
        <v>2898</v>
      </c>
    </row>
    <row r="1435" spans="13:14" x14ac:dyDescent="0.25">
      <c r="M1435" s="65" t="s">
        <v>2899</v>
      </c>
      <c r="N1435" s="65" t="s">
        <v>2900</v>
      </c>
    </row>
    <row r="1436" spans="13:14" x14ac:dyDescent="0.25">
      <c r="M1436" s="65" t="s">
        <v>2901</v>
      </c>
      <c r="N1436" s="65" t="s">
        <v>2902</v>
      </c>
    </row>
    <row r="1437" spans="13:14" x14ac:dyDescent="0.25">
      <c r="M1437" s="65" t="s">
        <v>2903</v>
      </c>
      <c r="N1437" s="65" t="s">
        <v>2904</v>
      </c>
    </row>
    <row r="1438" spans="13:14" x14ac:dyDescent="0.25">
      <c r="M1438" s="65" t="s">
        <v>2905</v>
      </c>
      <c r="N1438" s="65" t="s">
        <v>2906</v>
      </c>
    </row>
    <row r="1439" spans="13:14" x14ac:dyDescent="0.25">
      <c r="M1439" s="65" t="s">
        <v>2907</v>
      </c>
      <c r="N1439" s="65" t="s">
        <v>2908</v>
      </c>
    </row>
    <row r="1440" spans="13:14" x14ac:dyDescent="0.25">
      <c r="M1440" s="65" t="s">
        <v>2909</v>
      </c>
      <c r="N1440" s="65" t="s">
        <v>2910</v>
      </c>
    </row>
    <row r="1441" spans="13:14" x14ac:dyDescent="0.25">
      <c r="M1441" s="65" t="s">
        <v>2911</v>
      </c>
      <c r="N1441" s="65" t="s">
        <v>2912</v>
      </c>
    </row>
    <row r="1442" spans="13:14" x14ac:dyDescent="0.25">
      <c r="M1442" s="65" t="s">
        <v>2913</v>
      </c>
      <c r="N1442" s="65" t="s">
        <v>2914</v>
      </c>
    </row>
    <row r="1443" spans="13:14" x14ac:dyDescent="0.25">
      <c r="M1443" s="65" t="s">
        <v>2915</v>
      </c>
      <c r="N1443" s="65" t="s">
        <v>2916</v>
      </c>
    </row>
    <row r="1444" spans="13:14" x14ac:dyDescent="0.25">
      <c r="M1444" s="65" t="s">
        <v>2917</v>
      </c>
      <c r="N1444" s="65" t="s">
        <v>2918</v>
      </c>
    </row>
    <row r="1445" spans="13:14" x14ac:dyDescent="0.25">
      <c r="M1445" s="65" t="s">
        <v>2919</v>
      </c>
      <c r="N1445" s="65" t="s">
        <v>2920</v>
      </c>
    </row>
    <row r="1446" spans="13:14" x14ac:dyDescent="0.25">
      <c r="M1446" s="65" t="s">
        <v>2921</v>
      </c>
      <c r="N1446" s="65" t="s">
        <v>2922</v>
      </c>
    </row>
    <row r="1447" spans="13:14" x14ac:dyDescent="0.25">
      <c r="M1447" s="65" t="s">
        <v>2923</v>
      </c>
      <c r="N1447" s="65" t="s">
        <v>2924</v>
      </c>
    </row>
    <row r="1448" spans="13:14" x14ac:dyDescent="0.25">
      <c r="M1448" s="65" t="s">
        <v>2925</v>
      </c>
      <c r="N1448" s="65" t="s">
        <v>2926</v>
      </c>
    </row>
    <row r="1449" spans="13:14" x14ac:dyDescent="0.25">
      <c r="M1449" s="65" t="s">
        <v>2927</v>
      </c>
      <c r="N1449" s="65" t="s">
        <v>2928</v>
      </c>
    </row>
    <row r="1450" spans="13:14" x14ac:dyDescent="0.25">
      <c r="M1450" s="65" t="s">
        <v>2929</v>
      </c>
      <c r="N1450" s="65" t="s">
        <v>2930</v>
      </c>
    </row>
    <row r="1451" spans="13:14" x14ac:dyDescent="0.25">
      <c r="M1451" s="65" t="s">
        <v>2931</v>
      </c>
      <c r="N1451" s="65" t="s">
        <v>2932</v>
      </c>
    </row>
    <row r="1452" spans="13:14" x14ac:dyDescent="0.25">
      <c r="M1452" s="65" t="s">
        <v>2933</v>
      </c>
      <c r="N1452" s="65" t="s">
        <v>2934</v>
      </c>
    </row>
    <row r="1453" spans="13:14" x14ac:dyDescent="0.25">
      <c r="M1453" s="65" t="s">
        <v>2935</v>
      </c>
      <c r="N1453" s="65" t="s">
        <v>2936</v>
      </c>
    </row>
    <row r="1454" spans="13:14" x14ac:dyDescent="0.25">
      <c r="M1454" s="65" t="s">
        <v>2937</v>
      </c>
      <c r="N1454" s="65" t="s">
        <v>2938</v>
      </c>
    </row>
    <row r="1455" spans="13:14" x14ac:dyDescent="0.25">
      <c r="M1455" s="65" t="s">
        <v>2939</v>
      </c>
      <c r="N1455" s="65" t="s">
        <v>2940</v>
      </c>
    </row>
    <row r="1456" spans="13:14" x14ac:dyDescent="0.25">
      <c r="M1456" s="65" t="s">
        <v>2941</v>
      </c>
      <c r="N1456" s="65" t="s">
        <v>2942</v>
      </c>
    </row>
    <row r="1457" spans="13:14" x14ac:dyDescent="0.25">
      <c r="M1457" s="65" t="s">
        <v>2943</v>
      </c>
      <c r="N1457" s="65" t="s">
        <v>2944</v>
      </c>
    </row>
    <row r="1458" spans="13:14" x14ac:dyDescent="0.25">
      <c r="M1458" s="65" t="s">
        <v>2945</v>
      </c>
      <c r="N1458" s="65" t="s">
        <v>2946</v>
      </c>
    </row>
    <row r="1459" spans="13:14" x14ac:dyDescent="0.25">
      <c r="M1459" s="65" t="s">
        <v>2947</v>
      </c>
      <c r="N1459" s="65" t="s">
        <v>2948</v>
      </c>
    </row>
    <row r="1460" spans="13:14" x14ac:dyDescent="0.25">
      <c r="M1460" s="65" t="s">
        <v>2949</v>
      </c>
      <c r="N1460" s="65" t="s">
        <v>2950</v>
      </c>
    </row>
    <row r="1461" spans="13:14" x14ac:dyDescent="0.25">
      <c r="M1461" s="65" t="s">
        <v>2951</v>
      </c>
      <c r="N1461" s="65" t="s">
        <v>2952</v>
      </c>
    </row>
    <row r="1462" spans="13:14" x14ac:dyDescent="0.25">
      <c r="M1462" s="65" t="s">
        <v>2953</v>
      </c>
      <c r="N1462" s="65" t="s">
        <v>2954</v>
      </c>
    </row>
    <row r="1463" spans="13:14" x14ac:dyDescent="0.25">
      <c r="M1463" s="65" t="s">
        <v>2955</v>
      </c>
      <c r="N1463" s="65" t="s">
        <v>2956</v>
      </c>
    </row>
    <row r="1464" spans="13:14" x14ac:dyDescent="0.25">
      <c r="M1464" s="65" t="s">
        <v>2957</v>
      </c>
      <c r="N1464" s="65" t="s">
        <v>2958</v>
      </c>
    </row>
    <row r="1465" spans="13:14" x14ac:dyDescent="0.25">
      <c r="M1465" s="65" t="s">
        <v>2959</v>
      </c>
      <c r="N1465" s="65" t="s">
        <v>2960</v>
      </c>
    </row>
    <row r="1466" spans="13:14" x14ac:dyDescent="0.25">
      <c r="M1466" s="65" t="s">
        <v>2961</v>
      </c>
      <c r="N1466" s="65" t="s">
        <v>2962</v>
      </c>
    </row>
    <row r="1467" spans="13:14" x14ac:dyDescent="0.25">
      <c r="M1467" s="65" t="s">
        <v>2963</v>
      </c>
      <c r="N1467" s="65" t="s">
        <v>2964</v>
      </c>
    </row>
    <row r="1468" spans="13:14" x14ac:dyDescent="0.25">
      <c r="M1468" s="65" t="s">
        <v>2965</v>
      </c>
      <c r="N1468" s="65" t="s">
        <v>2966</v>
      </c>
    </row>
    <row r="1469" spans="13:14" x14ac:dyDescent="0.25">
      <c r="M1469" s="65" t="s">
        <v>2967</v>
      </c>
      <c r="N1469" s="65" t="s">
        <v>2968</v>
      </c>
    </row>
    <row r="1470" spans="13:14" x14ac:dyDescent="0.25">
      <c r="M1470" s="65" t="s">
        <v>2969</v>
      </c>
      <c r="N1470" s="65" t="s">
        <v>2970</v>
      </c>
    </row>
    <row r="1471" spans="13:14" x14ac:dyDescent="0.25">
      <c r="M1471" s="65" t="s">
        <v>2971</v>
      </c>
      <c r="N1471" s="65" t="s">
        <v>2972</v>
      </c>
    </row>
    <row r="1472" spans="13:14" x14ac:dyDescent="0.25">
      <c r="M1472" s="65" t="s">
        <v>2973</v>
      </c>
      <c r="N1472" s="65" t="s">
        <v>2974</v>
      </c>
    </row>
    <row r="1473" spans="13:14" x14ac:dyDescent="0.25">
      <c r="M1473" s="65" t="s">
        <v>2975</v>
      </c>
      <c r="N1473" s="65" t="s">
        <v>2976</v>
      </c>
    </row>
    <row r="1474" spans="13:14" x14ac:dyDescent="0.25">
      <c r="M1474" s="65" t="s">
        <v>2977</v>
      </c>
      <c r="N1474" s="65" t="s">
        <v>2978</v>
      </c>
    </row>
    <row r="1475" spans="13:14" x14ac:dyDescent="0.25">
      <c r="M1475" s="65" t="s">
        <v>2979</v>
      </c>
      <c r="N1475" s="65" t="s">
        <v>2980</v>
      </c>
    </row>
    <row r="1476" spans="13:14" x14ac:dyDescent="0.25">
      <c r="M1476" s="65" t="s">
        <v>2981</v>
      </c>
      <c r="N1476" s="65" t="s">
        <v>2982</v>
      </c>
    </row>
    <row r="1477" spans="13:14" x14ac:dyDescent="0.25">
      <c r="M1477" s="65" t="s">
        <v>2983</v>
      </c>
      <c r="N1477" s="65" t="s">
        <v>2984</v>
      </c>
    </row>
    <row r="1478" spans="13:14" x14ac:dyDescent="0.25">
      <c r="M1478" s="65" t="s">
        <v>2985</v>
      </c>
      <c r="N1478" s="65" t="s">
        <v>2986</v>
      </c>
    </row>
    <row r="1479" spans="13:14" x14ac:dyDescent="0.25">
      <c r="M1479" s="65" t="s">
        <v>2987</v>
      </c>
      <c r="N1479" s="65" t="s">
        <v>2988</v>
      </c>
    </row>
    <row r="1480" spans="13:14" x14ac:dyDescent="0.25">
      <c r="M1480" s="65" t="s">
        <v>2989</v>
      </c>
      <c r="N1480" s="65" t="s">
        <v>2990</v>
      </c>
    </row>
    <row r="1481" spans="13:14" x14ac:dyDescent="0.25">
      <c r="M1481" s="65" t="s">
        <v>2991</v>
      </c>
      <c r="N1481" s="65" t="s">
        <v>2992</v>
      </c>
    </row>
    <row r="1482" spans="13:14" x14ac:dyDescent="0.25">
      <c r="M1482" s="65" t="s">
        <v>2993</v>
      </c>
      <c r="N1482" s="65" t="s">
        <v>2994</v>
      </c>
    </row>
    <row r="1483" spans="13:14" x14ac:dyDescent="0.25">
      <c r="M1483" s="65" t="s">
        <v>2995</v>
      </c>
      <c r="N1483" s="65" t="s">
        <v>2996</v>
      </c>
    </row>
    <row r="1484" spans="13:14" x14ac:dyDescent="0.25">
      <c r="M1484" s="65" t="s">
        <v>2997</v>
      </c>
      <c r="N1484" s="65" t="s">
        <v>2998</v>
      </c>
    </row>
    <row r="1485" spans="13:14" x14ac:dyDescent="0.25">
      <c r="M1485" s="65" t="s">
        <v>2999</v>
      </c>
      <c r="N1485" s="65" t="s">
        <v>3000</v>
      </c>
    </row>
    <row r="1486" spans="13:14" x14ac:dyDescent="0.25">
      <c r="M1486" s="65" t="s">
        <v>3001</v>
      </c>
      <c r="N1486" s="65" t="s">
        <v>3002</v>
      </c>
    </row>
    <row r="1487" spans="13:14" x14ac:dyDescent="0.25">
      <c r="M1487" s="65" t="s">
        <v>3003</v>
      </c>
      <c r="N1487" s="65" t="s">
        <v>3004</v>
      </c>
    </row>
    <row r="1488" spans="13:14" x14ac:dyDescent="0.25">
      <c r="M1488" s="65" t="s">
        <v>3005</v>
      </c>
      <c r="N1488" s="65" t="s">
        <v>3006</v>
      </c>
    </row>
    <row r="1489" spans="13:14" x14ac:dyDescent="0.25">
      <c r="M1489" s="65" t="s">
        <v>3007</v>
      </c>
      <c r="N1489" s="65" t="s">
        <v>3008</v>
      </c>
    </row>
    <row r="1490" spans="13:14" x14ac:dyDescent="0.25">
      <c r="M1490" s="65" t="s">
        <v>3009</v>
      </c>
      <c r="N1490" s="65" t="s">
        <v>3010</v>
      </c>
    </row>
    <row r="1491" spans="13:14" x14ac:dyDescent="0.25">
      <c r="M1491" s="65" t="s">
        <v>3011</v>
      </c>
      <c r="N1491" s="65" t="s">
        <v>3012</v>
      </c>
    </row>
    <row r="1492" spans="13:14" x14ac:dyDescent="0.25">
      <c r="M1492" s="65" t="s">
        <v>3013</v>
      </c>
      <c r="N1492" s="65" t="s">
        <v>3014</v>
      </c>
    </row>
    <row r="1493" spans="13:14" x14ac:dyDescent="0.25">
      <c r="M1493" s="65" t="s">
        <v>3015</v>
      </c>
      <c r="N1493" s="65" t="s">
        <v>3016</v>
      </c>
    </row>
    <row r="1494" spans="13:14" x14ac:dyDescent="0.25">
      <c r="M1494" s="65" t="s">
        <v>3017</v>
      </c>
      <c r="N1494" s="65" t="s">
        <v>3018</v>
      </c>
    </row>
    <row r="1495" spans="13:14" x14ac:dyDescent="0.25">
      <c r="M1495" s="65" t="s">
        <v>3019</v>
      </c>
      <c r="N1495" s="65" t="s">
        <v>3020</v>
      </c>
    </row>
    <row r="1496" spans="13:14" x14ac:dyDescent="0.25">
      <c r="M1496" s="65" t="s">
        <v>3021</v>
      </c>
      <c r="N1496" s="65" t="s">
        <v>3022</v>
      </c>
    </row>
    <row r="1497" spans="13:14" x14ac:dyDescent="0.25">
      <c r="M1497" s="65" t="s">
        <v>3023</v>
      </c>
      <c r="N1497" s="65" t="s">
        <v>3024</v>
      </c>
    </row>
    <row r="1498" spans="13:14" x14ac:dyDescent="0.25">
      <c r="M1498" s="65" t="s">
        <v>3025</v>
      </c>
      <c r="N1498" s="65" t="s">
        <v>3026</v>
      </c>
    </row>
    <row r="1499" spans="13:14" x14ac:dyDescent="0.25">
      <c r="M1499" s="65" t="s">
        <v>3027</v>
      </c>
      <c r="N1499" s="65" t="s">
        <v>3028</v>
      </c>
    </row>
    <row r="1500" spans="13:14" x14ac:dyDescent="0.25">
      <c r="M1500" s="65" t="s">
        <v>3029</v>
      </c>
      <c r="N1500" s="65" t="s">
        <v>3030</v>
      </c>
    </row>
    <row r="1501" spans="13:14" x14ac:dyDescent="0.25">
      <c r="M1501" s="65" t="s">
        <v>3031</v>
      </c>
      <c r="N1501" s="65" t="s">
        <v>3032</v>
      </c>
    </row>
    <row r="1502" spans="13:14" x14ac:dyDescent="0.25">
      <c r="M1502" s="65" t="s">
        <v>3033</v>
      </c>
      <c r="N1502" s="65" t="s">
        <v>3034</v>
      </c>
    </row>
    <row r="1503" spans="13:14" x14ac:dyDescent="0.25">
      <c r="M1503" s="65" t="s">
        <v>3035</v>
      </c>
      <c r="N1503" s="65" t="s">
        <v>3036</v>
      </c>
    </row>
    <row r="1504" spans="13:14" x14ac:dyDescent="0.25">
      <c r="M1504" s="65" t="s">
        <v>3037</v>
      </c>
      <c r="N1504" s="65" t="s">
        <v>3038</v>
      </c>
    </row>
    <row r="1505" spans="13:14" x14ac:dyDescent="0.25">
      <c r="M1505" s="65" t="s">
        <v>3039</v>
      </c>
      <c r="N1505" s="65" t="s">
        <v>3040</v>
      </c>
    </row>
    <row r="1506" spans="13:14" x14ac:dyDescent="0.25">
      <c r="M1506" s="65" t="s">
        <v>3041</v>
      </c>
      <c r="N1506" s="65" t="s">
        <v>3042</v>
      </c>
    </row>
    <row r="1507" spans="13:14" x14ac:dyDescent="0.25">
      <c r="M1507" s="65" t="s">
        <v>3043</v>
      </c>
      <c r="N1507" s="65" t="s">
        <v>3044</v>
      </c>
    </row>
    <row r="1508" spans="13:14" x14ac:dyDescent="0.25">
      <c r="M1508" s="65" t="s">
        <v>3045</v>
      </c>
      <c r="N1508" s="65" t="s">
        <v>3046</v>
      </c>
    </row>
    <row r="1509" spans="13:14" x14ac:dyDescent="0.25">
      <c r="M1509" s="65" t="s">
        <v>3047</v>
      </c>
      <c r="N1509" s="65" t="s">
        <v>3048</v>
      </c>
    </row>
    <row r="1510" spans="13:14" x14ac:dyDescent="0.25">
      <c r="M1510" s="65" t="s">
        <v>3049</v>
      </c>
      <c r="N1510" s="65" t="s">
        <v>3050</v>
      </c>
    </row>
    <row r="1511" spans="13:14" x14ac:dyDescent="0.25">
      <c r="M1511" s="65" t="s">
        <v>3051</v>
      </c>
      <c r="N1511" s="65" t="s">
        <v>3052</v>
      </c>
    </row>
    <row r="1512" spans="13:14" x14ac:dyDescent="0.25">
      <c r="M1512" s="65" t="s">
        <v>3053</v>
      </c>
      <c r="N1512" s="65" t="s">
        <v>3054</v>
      </c>
    </row>
    <row r="1513" spans="13:14" x14ac:dyDescent="0.25">
      <c r="M1513" s="65" t="s">
        <v>3055</v>
      </c>
      <c r="N1513" s="65" t="s">
        <v>3056</v>
      </c>
    </row>
    <row r="1514" spans="13:14" x14ac:dyDescent="0.25">
      <c r="M1514" s="65" t="s">
        <v>3057</v>
      </c>
      <c r="N1514" s="65" t="s">
        <v>3058</v>
      </c>
    </row>
    <row r="1515" spans="13:14" x14ac:dyDescent="0.25">
      <c r="M1515" s="65" t="s">
        <v>3059</v>
      </c>
      <c r="N1515" s="65" t="s">
        <v>3060</v>
      </c>
    </row>
    <row r="1516" spans="13:14" x14ac:dyDescent="0.25">
      <c r="M1516" s="65" t="s">
        <v>3061</v>
      </c>
      <c r="N1516" s="65" t="s">
        <v>3062</v>
      </c>
    </row>
    <row r="1517" spans="13:14" x14ac:dyDescent="0.25">
      <c r="M1517" s="65" t="s">
        <v>3063</v>
      </c>
      <c r="N1517" s="65" t="s">
        <v>3064</v>
      </c>
    </row>
    <row r="1518" spans="13:14" x14ac:dyDescent="0.25">
      <c r="M1518" s="65" t="s">
        <v>3065</v>
      </c>
      <c r="N1518" s="65" t="s">
        <v>3066</v>
      </c>
    </row>
    <row r="1519" spans="13:14" x14ac:dyDescent="0.25">
      <c r="M1519" s="65" t="s">
        <v>3067</v>
      </c>
      <c r="N1519" s="65" t="s">
        <v>3068</v>
      </c>
    </row>
    <row r="1520" spans="13:14" x14ac:dyDescent="0.25">
      <c r="M1520" s="65" t="s">
        <v>3069</v>
      </c>
      <c r="N1520" s="65" t="s">
        <v>3070</v>
      </c>
    </row>
    <row r="1521" spans="13:14" x14ac:dyDescent="0.25">
      <c r="M1521" s="65" t="s">
        <v>3071</v>
      </c>
      <c r="N1521" s="65" t="s">
        <v>3072</v>
      </c>
    </row>
    <row r="1522" spans="13:14" x14ac:dyDescent="0.25">
      <c r="M1522" s="65" t="s">
        <v>3073</v>
      </c>
      <c r="N1522" s="65" t="s">
        <v>3074</v>
      </c>
    </row>
    <row r="1523" spans="13:14" x14ac:dyDescent="0.25">
      <c r="M1523" s="65" t="s">
        <v>3075</v>
      </c>
      <c r="N1523" s="65" t="s">
        <v>3076</v>
      </c>
    </row>
    <row r="1524" spans="13:14" x14ac:dyDescent="0.25">
      <c r="M1524" s="65" t="s">
        <v>3077</v>
      </c>
      <c r="N1524" s="65" t="s">
        <v>3078</v>
      </c>
    </row>
    <row r="1525" spans="13:14" x14ac:dyDescent="0.25">
      <c r="M1525" s="65" t="s">
        <v>3079</v>
      </c>
      <c r="N1525" s="65" t="s">
        <v>3080</v>
      </c>
    </row>
    <row r="1526" spans="13:14" x14ac:dyDescent="0.25">
      <c r="M1526" s="65" t="s">
        <v>3081</v>
      </c>
      <c r="N1526" s="65" t="s">
        <v>3082</v>
      </c>
    </row>
    <row r="1527" spans="13:14" x14ac:dyDescent="0.25">
      <c r="M1527" s="65" t="s">
        <v>3083</v>
      </c>
      <c r="N1527" s="65" t="s">
        <v>3084</v>
      </c>
    </row>
    <row r="1528" spans="13:14" x14ac:dyDescent="0.25">
      <c r="M1528" s="65" t="s">
        <v>3085</v>
      </c>
      <c r="N1528" s="65" t="s">
        <v>3086</v>
      </c>
    </row>
    <row r="1529" spans="13:14" x14ac:dyDescent="0.25">
      <c r="M1529" s="65" t="s">
        <v>3087</v>
      </c>
      <c r="N1529" s="65" t="s">
        <v>3088</v>
      </c>
    </row>
    <row r="1530" spans="13:14" x14ac:dyDescent="0.25">
      <c r="M1530" s="65" t="s">
        <v>3089</v>
      </c>
      <c r="N1530" s="65" t="s">
        <v>3090</v>
      </c>
    </row>
    <row r="1531" spans="13:14" x14ac:dyDescent="0.25">
      <c r="M1531" s="65" t="s">
        <v>3091</v>
      </c>
      <c r="N1531" s="65" t="s">
        <v>3092</v>
      </c>
    </row>
    <row r="1532" spans="13:14" x14ac:dyDescent="0.25">
      <c r="M1532" s="65" t="s">
        <v>3093</v>
      </c>
      <c r="N1532" s="65" t="s">
        <v>3094</v>
      </c>
    </row>
    <row r="1533" spans="13:14" x14ac:dyDescent="0.25">
      <c r="M1533" s="65" t="s">
        <v>3095</v>
      </c>
      <c r="N1533" s="65" t="s">
        <v>3096</v>
      </c>
    </row>
    <row r="1534" spans="13:14" x14ac:dyDescent="0.25">
      <c r="M1534" s="65" t="s">
        <v>3097</v>
      </c>
      <c r="N1534" s="65" t="s">
        <v>3098</v>
      </c>
    </row>
    <row r="1535" spans="13:14" x14ac:dyDescent="0.25">
      <c r="M1535" s="65" t="s">
        <v>3099</v>
      </c>
      <c r="N1535" s="65" t="s">
        <v>3100</v>
      </c>
    </row>
    <row r="1536" spans="13:14" x14ac:dyDescent="0.25">
      <c r="M1536" s="65" t="s">
        <v>3101</v>
      </c>
      <c r="N1536" s="65" t="s">
        <v>3102</v>
      </c>
    </row>
    <row r="1537" spans="13:14" x14ac:dyDescent="0.25">
      <c r="M1537" s="65" t="s">
        <v>3103</v>
      </c>
      <c r="N1537" s="65" t="s">
        <v>3104</v>
      </c>
    </row>
    <row r="1538" spans="13:14" x14ac:dyDescent="0.25">
      <c r="M1538" s="65" t="s">
        <v>3105</v>
      </c>
      <c r="N1538" s="65" t="s">
        <v>3106</v>
      </c>
    </row>
    <row r="1539" spans="13:14" x14ac:dyDescent="0.25">
      <c r="M1539" s="65" t="s">
        <v>3107</v>
      </c>
      <c r="N1539" s="65" t="s">
        <v>3108</v>
      </c>
    </row>
    <row r="1540" spans="13:14" x14ac:dyDescent="0.25">
      <c r="M1540" s="65" t="s">
        <v>3109</v>
      </c>
      <c r="N1540" s="65" t="s">
        <v>3110</v>
      </c>
    </row>
    <row r="1541" spans="13:14" x14ac:dyDescent="0.25">
      <c r="M1541" s="65" t="s">
        <v>3111</v>
      </c>
      <c r="N1541" s="65" t="s">
        <v>3112</v>
      </c>
    </row>
    <row r="1542" spans="13:14" x14ac:dyDescent="0.25">
      <c r="M1542" s="65" t="s">
        <v>3113</v>
      </c>
      <c r="N1542" s="65" t="s">
        <v>3114</v>
      </c>
    </row>
    <row r="1543" spans="13:14" x14ac:dyDescent="0.25">
      <c r="M1543" s="65" t="s">
        <v>3115</v>
      </c>
      <c r="N1543" s="65" t="s">
        <v>3116</v>
      </c>
    </row>
    <row r="1544" spans="13:14" x14ac:dyDescent="0.25">
      <c r="M1544" s="65" t="s">
        <v>3117</v>
      </c>
      <c r="N1544" s="65" t="s">
        <v>3118</v>
      </c>
    </row>
    <row r="1545" spans="13:14" x14ac:dyDescent="0.25">
      <c r="M1545" s="65" t="s">
        <v>3119</v>
      </c>
      <c r="N1545" s="65" t="s">
        <v>3120</v>
      </c>
    </row>
    <row r="1546" spans="13:14" x14ac:dyDescent="0.25">
      <c r="M1546" s="65" t="s">
        <v>3121</v>
      </c>
      <c r="N1546" s="65" t="s">
        <v>3122</v>
      </c>
    </row>
    <row r="1547" spans="13:14" x14ac:dyDescent="0.25">
      <c r="M1547" s="65" t="s">
        <v>3123</v>
      </c>
      <c r="N1547" s="65" t="s">
        <v>3124</v>
      </c>
    </row>
    <row r="1548" spans="13:14" x14ac:dyDescent="0.25">
      <c r="M1548" s="65" t="s">
        <v>3125</v>
      </c>
      <c r="N1548" s="65" t="s">
        <v>3126</v>
      </c>
    </row>
    <row r="1549" spans="13:14" x14ac:dyDescent="0.25">
      <c r="M1549" s="65" t="s">
        <v>3127</v>
      </c>
      <c r="N1549" s="65" t="s">
        <v>3128</v>
      </c>
    </row>
    <row r="1550" spans="13:14" x14ac:dyDescent="0.25">
      <c r="M1550" s="65" t="s">
        <v>3129</v>
      </c>
      <c r="N1550" s="65" t="s">
        <v>3130</v>
      </c>
    </row>
    <row r="1551" spans="13:14" x14ac:dyDescent="0.25">
      <c r="M1551" s="65" t="s">
        <v>3131</v>
      </c>
      <c r="N1551" s="65" t="s">
        <v>3132</v>
      </c>
    </row>
    <row r="1552" spans="13:14" x14ac:dyDescent="0.25">
      <c r="M1552" s="65" t="s">
        <v>3133</v>
      </c>
      <c r="N1552" s="65" t="s">
        <v>3134</v>
      </c>
    </row>
    <row r="1553" spans="13:14" x14ac:dyDescent="0.25">
      <c r="M1553" s="65" t="s">
        <v>3135</v>
      </c>
      <c r="N1553" s="65" t="s">
        <v>3136</v>
      </c>
    </row>
    <row r="1554" spans="13:14" x14ac:dyDescent="0.25">
      <c r="M1554" s="65" t="s">
        <v>3137</v>
      </c>
      <c r="N1554" s="65" t="s">
        <v>3138</v>
      </c>
    </row>
    <row r="1555" spans="13:14" x14ac:dyDescent="0.25">
      <c r="M1555" s="65" t="s">
        <v>3139</v>
      </c>
      <c r="N1555" s="65" t="s">
        <v>3140</v>
      </c>
    </row>
    <row r="1556" spans="13:14" x14ac:dyDescent="0.25">
      <c r="M1556" s="65" t="s">
        <v>3141</v>
      </c>
      <c r="N1556" s="65" t="s">
        <v>3142</v>
      </c>
    </row>
    <row r="1557" spans="13:14" x14ac:dyDescent="0.25">
      <c r="M1557" s="65" t="s">
        <v>3143</v>
      </c>
      <c r="N1557" s="65" t="s">
        <v>3144</v>
      </c>
    </row>
    <row r="1558" spans="13:14" x14ac:dyDescent="0.25">
      <c r="M1558" s="65" t="s">
        <v>3145</v>
      </c>
      <c r="N1558" s="65" t="s">
        <v>3146</v>
      </c>
    </row>
    <row r="1559" spans="13:14" x14ac:dyDescent="0.25">
      <c r="M1559" s="65" t="s">
        <v>3147</v>
      </c>
      <c r="N1559" s="65" t="s">
        <v>3148</v>
      </c>
    </row>
    <row r="1560" spans="13:14" x14ac:dyDescent="0.25">
      <c r="M1560" s="65" t="s">
        <v>3149</v>
      </c>
      <c r="N1560" s="65" t="s">
        <v>3150</v>
      </c>
    </row>
    <row r="1561" spans="13:14" x14ac:dyDescent="0.25">
      <c r="M1561" s="65" t="s">
        <v>3151</v>
      </c>
      <c r="N1561" s="65" t="s">
        <v>3152</v>
      </c>
    </row>
    <row r="1562" spans="13:14" x14ac:dyDescent="0.25">
      <c r="M1562" s="65" t="s">
        <v>3153</v>
      </c>
      <c r="N1562" s="65" t="s">
        <v>3154</v>
      </c>
    </row>
    <row r="1563" spans="13:14" x14ac:dyDescent="0.25">
      <c r="M1563" s="65" t="s">
        <v>3155</v>
      </c>
      <c r="N1563" s="65" t="s">
        <v>3156</v>
      </c>
    </row>
    <row r="1564" spans="13:14" x14ac:dyDescent="0.25">
      <c r="M1564" s="65" t="s">
        <v>3157</v>
      </c>
      <c r="N1564" s="65" t="s">
        <v>3158</v>
      </c>
    </row>
    <row r="1565" spans="13:14" x14ac:dyDescent="0.25">
      <c r="M1565" s="65" t="s">
        <v>3159</v>
      </c>
      <c r="N1565" s="65" t="s">
        <v>3160</v>
      </c>
    </row>
    <row r="1566" spans="13:14" x14ac:dyDescent="0.25">
      <c r="M1566" s="65" t="s">
        <v>3161</v>
      </c>
      <c r="N1566" s="65" t="s">
        <v>3162</v>
      </c>
    </row>
    <row r="1567" spans="13:14" x14ac:dyDescent="0.25">
      <c r="M1567" s="65" t="s">
        <v>3163</v>
      </c>
      <c r="N1567" s="65" t="s">
        <v>3164</v>
      </c>
    </row>
    <row r="1568" spans="13:14" x14ac:dyDescent="0.25">
      <c r="M1568" s="65" t="s">
        <v>3165</v>
      </c>
      <c r="N1568" s="65" t="s">
        <v>3166</v>
      </c>
    </row>
    <row r="1569" spans="13:14" x14ac:dyDescent="0.25">
      <c r="M1569" s="65" t="s">
        <v>3167</v>
      </c>
      <c r="N1569" s="65" t="s">
        <v>3168</v>
      </c>
    </row>
    <row r="1570" spans="13:14" x14ac:dyDescent="0.25">
      <c r="M1570" s="65" t="s">
        <v>3169</v>
      </c>
      <c r="N1570" s="65" t="s">
        <v>3170</v>
      </c>
    </row>
    <row r="1571" spans="13:14" x14ac:dyDescent="0.25">
      <c r="M1571" s="65" t="s">
        <v>3171</v>
      </c>
      <c r="N1571" s="65" t="s">
        <v>3172</v>
      </c>
    </row>
    <row r="1572" spans="13:14" x14ac:dyDescent="0.25">
      <c r="M1572" s="65" t="s">
        <v>3173</v>
      </c>
      <c r="N1572" s="65" t="s">
        <v>3174</v>
      </c>
    </row>
    <row r="1573" spans="13:14" x14ac:dyDescent="0.25">
      <c r="M1573" s="65" t="s">
        <v>3175</v>
      </c>
      <c r="N1573" s="65" t="s">
        <v>3176</v>
      </c>
    </row>
    <row r="1574" spans="13:14" x14ac:dyDescent="0.25">
      <c r="M1574" s="65" t="s">
        <v>3177</v>
      </c>
      <c r="N1574" s="65" t="s">
        <v>3178</v>
      </c>
    </row>
    <row r="1575" spans="13:14" x14ac:dyDescent="0.25">
      <c r="M1575" s="65" t="s">
        <v>3179</v>
      </c>
      <c r="N1575" s="65" t="s">
        <v>3180</v>
      </c>
    </row>
    <row r="1576" spans="13:14" x14ac:dyDescent="0.25">
      <c r="M1576" s="65" t="s">
        <v>3181</v>
      </c>
      <c r="N1576" s="65" t="s">
        <v>3182</v>
      </c>
    </row>
    <row r="1577" spans="13:14" x14ac:dyDescent="0.25">
      <c r="M1577" s="65" t="s">
        <v>3183</v>
      </c>
      <c r="N1577" s="65" t="s">
        <v>3184</v>
      </c>
    </row>
    <row r="1578" spans="13:14" x14ac:dyDescent="0.25">
      <c r="M1578" s="65" t="s">
        <v>3185</v>
      </c>
      <c r="N1578" s="65" t="s">
        <v>3186</v>
      </c>
    </row>
    <row r="1579" spans="13:14" x14ac:dyDescent="0.25">
      <c r="M1579" s="65" t="s">
        <v>3187</v>
      </c>
      <c r="N1579" s="65" t="s">
        <v>3188</v>
      </c>
    </row>
    <row r="1580" spans="13:14" x14ac:dyDescent="0.25">
      <c r="M1580" s="65" t="s">
        <v>3189</v>
      </c>
      <c r="N1580" s="65" t="s">
        <v>3190</v>
      </c>
    </row>
    <row r="1581" spans="13:14" x14ac:dyDescent="0.25">
      <c r="M1581" s="65" t="s">
        <v>3191</v>
      </c>
      <c r="N1581" s="65" t="s">
        <v>3192</v>
      </c>
    </row>
    <row r="1582" spans="13:14" x14ac:dyDescent="0.25">
      <c r="M1582" s="65" t="s">
        <v>3193</v>
      </c>
      <c r="N1582" s="65" t="s">
        <v>3194</v>
      </c>
    </row>
    <row r="1583" spans="13:14" x14ac:dyDescent="0.25">
      <c r="M1583" s="65" t="s">
        <v>3195</v>
      </c>
      <c r="N1583" s="65" t="s">
        <v>3196</v>
      </c>
    </row>
    <row r="1584" spans="13:14" x14ac:dyDescent="0.25">
      <c r="M1584" s="65" t="s">
        <v>3197</v>
      </c>
      <c r="N1584" s="65" t="s">
        <v>3198</v>
      </c>
    </row>
    <row r="1585" spans="13:14" x14ac:dyDescent="0.25">
      <c r="M1585" s="65" t="s">
        <v>3199</v>
      </c>
      <c r="N1585" s="65" t="s">
        <v>3200</v>
      </c>
    </row>
    <row r="1586" spans="13:14" x14ac:dyDescent="0.25">
      <c r="M1586" s="65" t="s">
        <v>3201</v>
      </c>
      <c r="N1586" s="65" t="s">
        <v>3202</v>
      </c>
    </row>
    <row r="1587" spans="13:14" x14ac:dyDescent="0.25">
      <c r="M1587" s="65" t="s">
        <v>3203</v>
      </c>
      <c r="N1587" s="65" t="s">
        <v>3204</v>
      </c>
    </row>
    <row r="1588" spans="13:14" x14ac:dyDescent="0.25">
      <c r="M1588" s="65" t="s">
        <v>3205</v>
      </c>
      <c r="N1588" s="65" t="s">
        <v>3206</v>
      </c>
    </row>
    <row r="1589" spans="13:14" x14ac:dyDescent="0.25">
      <c r="M1589" s="65" t="s">
        <v>3207</v>
      </c>
      <c r="N1589" s="65" t="s">
        <v>3208</v>
      </c>
    </row>
    <row r="1590" spans="13:14" x14ac:dyDescent="0.25">
      <c r="M1590" s="65" t="s">
        <v>3209</v>
      </c>
      <c r="N1590" s="65" t="s">
        <v>3210</v>
      </c>
    </row>
    <row r="1591" spans="13:14" x14ac:dyDescent="0.25">
      <c r="M1591" s="65" t="s">
        <v>3211</v>
      </c>
      <c r="N1591" s="65" t="s">
        <v>3212</v>
      </c>
    </row>
    <row r="1592" spans="13:14" x14ac:dyDescent="0.25">
      <c r="M1592" s="65" t="s">
        <v>3213</v>
      </c>
      <c r="N1592" s="65" t="s">
        <v>3214</v>
      </c>
    </row>
    <row r="1593" spans="13:14" x14ac:dyDescent="0.25">
      <c r="M1593" s="65" t="s">
        <v>3215</v>
      </c>
      <c r="N1593" s="65" t="s">
        <v>3216</v>
      </c>
    </row>
    <row r="1594" spans="13:14" x14ac:dyDescent="0.25">
      <c r="M1594" s="65" t="s">
        <v>3217</v>
      </c>
      <c r="N1594" s="65" t="s">
        <v>3218</v>
      </c>
    </row>
    <row r="1595" spans="13:14" x14ac:dyDescent="0.25">
      <c r="M1595" s="65" t="s">
        <v>3219</v>
      </c>
      <c r="N1595" s="65" t="s">
        <v>3220</v>
      </c>
    </row>
    <row r="1596" spans="13:14" x14ac:dyDescent="0.25">
      <c r="M1596" s="65" t="s">
        <v>3221</v>
      </c>
      <c r="N1596" s="65" t="s">
        <v>3222</v>
      </c>
    </row>
    <row r="1597" spans="13:14" x14ac:dyDescent="0.25">
      <c r="M1597" s="65" t="s">
        <v>3223</v>
      </c>
      <c r="N1597" s="65" t="s">
        <v>3224</v>
      </c>
    </row>
    <row r="1598" spans="13:14" x14ac:dyDescent="0.25">
      <c r="M1598" s="65" t="s">
        <v>3225</v>
      </c>
      <c r="N1598" s="65" t="s">
        <v>3226</v>
      </c>
    </row>
    <row r="1599" spans="13:14" x14ac:dyDescent="0.25">
      <c r="M1599" s="65" t="s">
        <v>3227</v>
      </c>
      <c r="N1599" s="65" t="s">
        <v>3228</v>
      </c>
    </row>
    <row r="1600" spans="13:14" x14ac:dyDescent="0.25">
      <c r="M1600" s="65" t="s">
        <v>3229</v>
      </c>
      <c r="N1600" s="65" t="s">
        <v>3230</v>
      </c>
    </row>
    <row r="1601" spans="13:14" x14ac:dyDescent="0.25">
      <c r="M1601" s="65" t="s">
        <v>3231</v>
      </c>
      <c r="N1601" s="65" t="s">
        <v>3232</v>
      </c>
    </row>
    <row r="1602" spans="13:14" x14ac:dyDescent="0.25">
      <c r="M1602" s="65" t="s">
        <v>3233</v>
      </c>
      <c r="N1602" s="65" t="s">
        <v>3234</v>
      </c>
    </row>
    <row r="1603" spans="13:14" x14ac:dyDescent="0.25">
      <c r="M1603" s="65" t="s">
        <v>3235</v>
      </c>
      <c r="N1603" s="65" t="s">
        <v>3236</v>
      </c>
    </row>
    <row r="1604" spans="13:14" x14ac:dyDescent="0.25">
      <c r="M1604" s="65" t="s">
        <v>3237</v>
      </c>
      <c r="N1604" s="65" t="s">
        <v>3238</v>
      </c>
    </row>
    <row r="1605" spans="13:14" x14ac:dyDescent="0.25">
      <c r="M1605" s="65" t="s">
        <v>3239</v>
      </c>
      <c r="N1605" s="65" t="s">
        <v>3240</v>
      </c>
    </row>
    <row r="1606" spans="13:14" x14ac:dyDescent="0.25">
      <c r="M1606" s="65" t="s">
        <v>3241</v>
      </c>
      <c r="N1606" s="65" t="s">
        <v>3242</v>
      </c>
    </row>
    <row r="1607" spans="13:14" x14ac:dyDescent="0.25">
      <c r="M1607" s="65" t="s">
        <v>3243</v>
      </c>
      <c r="N1607" s="65" t="s">
        <v>3244</v>
      </c>
    </row>
    <row r="1608" spans="13:14" x14ac:dyDescent="0.25">
      <c r="M1608" s="65" t="s">
        <v>3245</v>
      </c>
      <c r="N1608" s="65" t="s">
        <v>3246</v>
      </c>
    </row>
    <row r="1609" spans="13:14" x14ac:dyDescent="0.25">
      <c r="M1609" s="65" t="s">
        <v>3247</v>
      </c>
      <c r="N1609" s="65" t="s">
        <v>3248</v>
      </c>
    </row>
    <row r="1610" spans="13:14" x14ac:dyDescent="0.25">
      <c r="M1610" s="65" t="s">
        <v>3249</v>
      </c>
      <c r="N1610" s="65" t="s">
        <v>3250</v>
      </c>
    </row>
    <row r="1611" spans="13:14" x14ac:dyDescent="0.25">
      <c r="M1611" s="65" t="s">
        <v>3251</v>
      </c>
      <c r="N1611" s="65" t="s">
        <v>3252</v>
      </c>
    </row>
    <row r="1612" spans="13:14" x14ac:dyDescent="0.25">
      <c r="M1612" s="65" t="s">
        <v>3253</v>
      </c>
      <c r="N1612" s="65" t="s">
        <v>3254</v>
      </c>
    </row>
    <row r="1613" spans="13:14" x14ac:dyDescent="0.25">
      <c r="M1613" s="65" t="s">
        <v>3255</v>
      </c>
      <c r="N1613" s="65" t="s">
        <v>3256</v>
      </c>
    </row>
    <row r="1614" spans="13:14" x14ac:dyDescent="0.25">
      <c r="M1614" s="65" t="s">
        <v>3257</v>
      </c>
      <c r="N1614" s="65" t="s">
        <v>3258</v>
      </c>
    </row>
    <row r="1615" spans="13:14" x14ac:dyDescent="0.25">
      <c r="M1615" s="65" t="s">
        <v>3259</v>
      </c>
      <c r="N1615" s="65" t="s">
        <v>3260</v>
      </c>
    </row>
    <row r="1616" spans="13:14" x14ac:dyDescent="0.25">
      <c r="M1616" s="65" t="s">
        <v>3261</v>
      </c>
      <c r="N1616" s="65" t="s">
        <v>3262</v>
      </c>
    </row>
    <row r="1617" spans="13:14" x14ac:dyDescent="0.25">
      <c r="M1617" s="65" t="s">
        <v>3263</v>
      </c>
      <c r="N1617" s="65" t="s">
        <v>3264</v>
      </c>
    </row>
    <row r="1618" spans="13:14" x14ac:dyDescent="0.25">
      <c r="M1618" s="65" t="s">
        <v>3265</v>
      </c>
      <c r="N1618" s="65" t="s">
        <v>3266</v>
      </c>
    </row>
    <row r="1619" spans="13:14" x14ac:dyDescent="0.25">
      <c r="M1619" s="65" t="s">
        <v>3267</v>
      </c>
      <c r="N1619" s="65" t="s">
        <v>3268</v>
      </c>
    </row>
    <row r="1620" spans="13:14" x14ac:dyDescent="0.25">
      <c r="M1620" s="65" t="s">
        <v>3269</v>
      </c>
      <c r="N1620" s="65" t="s">
        <v>3270</v>
      </c>
    </row>
    <row r="1621" spans="13:14" x14ac:dyDescent="0.25">
      <c r="M1621" s="65" t="s">
        <v>3271</v>
      </c>
      <c r="N1621" s="65" t="s">
        <v>3272</v>
      </c>
    </row>
    <row r="1622" spans="13:14" x14ac:dyDescent="0.25">
      <c r="M1622" s="65" t="s">
        <v>3273</v>
      </c>
      <c r="N1622" s="65" t="s">
        <v>3274</v>
      </c>
    </row>
    <row r="1623" spans="13:14" x14ac:dyDescent="0.25">
      <c r="M1623" s="65" t="s">
        <v>3275</v>
      </c>
      <c r="N1623" s="65" t="s">
        <v>3276</v>
      </c>
    </row>
    <row r="1624" spans="13:14" x14ac:dyDescent="0.25">
      <c r="M1624" s="65" t="s">
        <v>3277</v>
      </c>
      <c r="N1624" s="65" t="s">
        <v>3278</v>
      </c>
    </row>
    <row r="1625" spans="13:14" x14ac:dyDescent="0.25">
      <c r="M1625" s="65" t="s">
        <v>3279</v>
      </c>
      <c r="N1625" s="65" t="s">
        <v>3280</v>
      </c>
    </row>
    <row r="1626" spans="13:14" x14ac:dyDescent="0.25">
      <c r="M1626" s="65" t="s">
        <v>3281</v>
      </c>
      <c r="N1626" s="65" t="s">
        <v>3282</v>
      </c>
    </row>
    <row r="1627" spans="13:14" x14ac:dyDescent="0.25">
      <c r="M1627" s="65" t="s">
        <v>3283</v>
      </c>
      <c r="N1627" s="65" t="s">
        <v>3284</v>
      </c>
    </row>
    <row r="1628" spans="13:14" x14ac:dyDescent="0.25">
      <c r="M1628" s="65" t="s">
        <v>3285</v>
      </c>
      <c r="N1628" s="65" t="s">
        <v>3286</v>
      </c>
    </row>
    <row r="1629" spans="13:14" x14ac:dyDescent="0.25">
      <c r="M1629" s="65" t="s">
        <v>3287</v>
      </c>
      <c r="N1629" s="65" t="s">
        <v>3288</v>
      </c>
    </row>
    <row r="1630" spans="13:14" x14ac:dyDescent="0.25">
      <c r="M1630" s="65" t="s">
        <v>3289</v>
      </c>
      <c r="N1630" s="65" t="s">
        <v>3290</v>
      </c>
    </row>
    <row r="1631" spans="13:14" x14ac:dyDescent="0.25">
      <c r="M1631" s="65" t="s">
        <v>3291</v>
      </c>
      <c r="N1631" s="65" t="s">
        <v>3292</v>
      </c>
    </row>
    <row r="1632" spans="13:14" x14ac:dyDescent="0.25">
      <c r="M1632" s="65" t="s">
        <v>3293</v>
      </c>
      <c r="N1632" s="65" t="s">
        <v>3294</v>
      </c>
    </row>
    <row r="1633" spans="13:14" x14ac:dyDescent="0.25">
      <c r="M1633" s="65" t="s">
        <v>3295</v>
      </c>
      <c r="N1633" s="65" t="s">
        <v>3296</v>
      </c>
    </row>
    <row r="1634" spans="13:14" x14ac:dyDescent="0.25">
      <c r="M1634" s="65" t="s">
        <v>3297</v>
      </c>
      <c r="N1634" s="65" t="s">
        <v>3298</v>
      </c>
    </row>
    <row r="1635" spans="13:14" x14ac:dyDescent="0.25">
      <c r="M1635" s="65" t="s">
        <v>3299</v>
      </c>
      <c r="N1635" s="65" t="s">
        <v>3300</v>
      </c>
    </row>
    <row r="1636" spans="13:14" x14ac:dyDescent="0.25">
      <c r="M1636" s="65" t="s">
        <v>3301</v>
      </c>
      <c r="N1636" s="65" t="s">
        <v>3302</v>
      </c>
    </row>
    <row r="1637" spans="13:14" x14ac:dyDescent="0.25">
      <c r="M1637" s="65" t="s">
        <v>3303</v>
      </c>
      <c r="N1637" s="65" t="s">
        <v>3304</v>
      </c>
    </row>
    <row r="1638" spans="13:14" x14ac:dyDescent="0.25">
      <c r="M1638" s="65" t="s">
        <v>3305</v>
      </c>
      <c r="N1638" s="65" t="s">
        <v>3306</v>
      </c>
    </row>
    <row r="1639" spans="13:14" x14ac:dyDescent="0.25">
      <c r="M1639" s="65" t="s">
        <v>3307</v>
      </c>
      <c r="N1639" s="65" t="s">
        <v>3308</v>
      </c>
    </row>
    <row r="1640" spans="13:14" x14ac:dyDescent="0.25">
      <c r="M1640" s="65" t="s">
        <v>3309</v>
      </c>
      <c r="N1640" s="65" t="s">
        <v>3310</v>
      </c>
    </row>
    <row r="1641" spans="13:14" x14ac:dyDescent="0.25">
      <c r="M1641" s="65" t="s">
        <v>3311</v>
      </c>
      <c r="N1641" s="65" t="s">
        <v>3312</v>
      </c>
    </row>
    <row r="1642" spans="13:14" x14ac:dyDescent="0.25">
      <c r="M1642" s="65" t="s">
        <v>3313</v>
      </c>
      <c r="N1642" s="65" t="s">
        <v>3314</v>
      </c>
    </row>
    <row r="1643" spans="13:14" x14ac:dyDescent="0.25">
      <c r="M1643" s="65" t="s">
        <v>3315</v>
      </c>
      <c r="N1643" s="65" t="s">
        <v>3316</v>
      </c>
    </row>
    <row r="1644" spans="13:14" x14ac:dyDescent="0.25">
      <c r="M1644" s="65" t="s">
        <v>3317</v>
      </c>
      <c r="N1644" s="65" t="s">
        <v>3318</v>
      </c>
    </row>
    <row r="1645" spans="13:14" x14ac:dyDescent="0.25">
      <c r="M1645" s="65" t="s">
        <v>3319</v>
      </c>
      <c r="N1645" s="65" t="s">
        <v>3320</v>
      </c>
    </row>
    <row r="1646" spans="13:14" x14ac:dyDescent="0.25">
      <c r="M1646" s="65" t="s">
        <v>3321</v>
      </c>
      <c r="N1646" s="65" t="s">
        <v>3322</v>
      </c>
    </row>
    <row r="1647" spans="13:14" x14ac:dyDescent="0.25">
      <c r="M1647" s="65" t="s">
        <v>3323</v>
      </c>
      <c r="N1647" s="65" t="s">
        <v>3324</v>
      </c>
    </row>
    <row r="1648" spans="13:14" x14ac:dyDescent="0.25">
      <c r="M1648" s="65" t="s">
        <v>3325</v>
      </c>
      <c r="N1648" s="65" t="s">
        <v>3326</v>
      </c>
    </row>
    <row r="1649" spans="13:14" x14ac:dyDescent="0.25">
      <c r="M1649" s="65" t="s">
        <v>3327</v>
      </c>
      <c r="N1649" s="65" t="s">
        <v>3328</v>
      </c>
    </row>
    <row r="1650" spans="13:14" x14ac:dyDescent="0.25">
      <c r="M1650" s="65" t="s">
        <v>3329</v>
      </c>
      <c r="N1650" s="65" t="s">
        <v>3330</v>
      </c>
    </row>
    <row r="1651" spans="13:14" x14ac:dyDescent="0.25">
      <c r="M1651" s="65" t="s">
        <v>3331</v>
      </c>
      <c r="N1651" s="65" t="s">
        <v>3332</v>
      </c>
    </row>
    <row r="1652" spans="13:14" x14ac:dyDescent="0.25">
      <c r="M1652" s="65" t="s">
        <v>3333</v>
      </c>
      <c r="N1652" s="65" t="s">
        <v>3334</v>
      </c>
    </row>
    <row r="1653" spans="13:14" x14ac:dyDescent="0.25">
      <c r="M1653" s="65" t="s">
        <v>3335</v>
      </c>
      <c r="N1653" s="65" t="s">
        <v>3336</v>
      </c>
    </row>
    <row r="1654" spans="13:14" x14ac:dyDescent="0.25">
      <c r="M1654" s="65" t="s">
        <v>3337</v>
      </c>
      <c r="N1654" s="65" t="s">
        <v>3338</v>
      </c>
    </row>
    <row r="1655" spans="13:14" x14ac:dyDescent="0.25">
      <c r="M1655" s="65" t="s">
        <v>3339</v>
      </c>
      <c r="N1655" s="65" t="s">
        <v>3340</v>
      </c>
    </row>
    <row r="1656" spans="13:14" x14ac:dyDescent="0.25">
      <c r="M1656" s="65" t="s">
        <v>3341</v>
      </c>
      <c r="N1656" s="65" t="s">
        <v>3342</v>
      </c>
    </row>
    <row r="1657" spans="13:14" x14ac:dyDescent="0.25">
      <c r="M1657" s="65" t="s">
        <v>3343</v>
      </c>
      <c r="N1657" s="65" t="s">
        <v>3344</v>
      </c>
    </row>
    <row r="1658" spans="13:14" x14ac:dyDescent="0.25">
      <c r="M1658" s="65" t="s">
        <v>3345</v>
      </c>
      <c r="N1658" s="65" t="s">
        <v>3346</v>
      </c>
    </row>
    <row r="1659" spans="13:14" x14ac:dyDescent="0.25">
      <c r="M1659" s="65" t="s">
        <v>3347</v>
      </c>
      <c r="N1659" s="65" t="s">
        <v>3348</v>
      </c>
    </row>
    <row r="1660" spans="13:14" x14ac:dyDescent="0.25">
      <c r="M1660" s="65" t="s">
        <v>3349</v>
      </c>
      <c r="N1660" s="65" t="s">
        <v>3350</v>
      </c>
    </row>
    <row r="1661" spans="13:14" x14ac:dyDescent="0.25">
      <c r="M1661" s="65" t="s">
        <v>3351</v>
      </c>
      <c r="N1661" s="65" t="s">
        <v>3352</v>
      </c>
    </row>
    <row r="1662" spans="13:14" x14ac:dyDescent="0.25">
      <c r="M1662" s="65" t="s">
        <v>3353</v>
      </c>
      <c r="N1662" s="65" t="s">
        <v>3354</v>
      </c>
    </row>
    <row r="1663" spans="13:14" x14ac:dyDescent="0.25">
      <c r="M1663" s="65" t="s">
        <v>3355</v>
      </c>
      <c r="N1663" s="65" t="s">
        <v>3356</v>
      </c>
    </row>
    <row r="1664" spans="13:14" x14ac:dyDescent="0.25">
      <c r="M1664" s="65" t="s">
        <v>3357</v>
      </c>
      <c r="N1664" s="65" t="s">
        <v>3358</v>
      </c>
    </row>
    <row r="1665" spans="13:14" x14ac:dyDescent="0.25">
      <c r="M1665" s="65" t="s">
        <v>3359</v>
      </c>
      <c r="N1665" s="65" t="s">
        <v>3360</v>
      </c>
    </row>
    <row r="1666" spans="13:14" x14ac:dyDescent="0.25">
      <c r="M1666" s="65" t="s">
        <v>3361</v>
      </c>
      <c r="N1666" s="65" t="s">
        <v>3362</v>
      </c>
    </row>
    <row r="1667" spans="13:14" x14ac:dyDescent="0.25">
      <c r="M1667" s="65" t="s">
        <v>3363</v>
      </c>
      <c r="N1667" s="65" t="s">
        <v>3364</v>
      </c>
    </row>
    <row r="1668" spans="13:14" x14ac:dyDescent="0.25">
      <c r="M1668" s="65" t="s">
        <v>3365</v>
      </c>
      <c r="N1668" s="65" t="s">
        <v>3366</v>
      </c>
    </row>
    <row r="1669" spans="13:14" x14ac:dyDescent="0.25">
      <c r="M1669" s="65" t="s">
        <v>3367</v>
      </c>
      <c r="N1669" s="65" t="s">
        <v>3368</v>
      </c>
    </row>
    <row r="1670" spans="13:14" x14ac:dyDescent="0.25">
      <c r="M1670" s="65" t="s">
        <v>3369</v>
      </c>
      <c r="N1670" s="65" t="s">
        <v>3370</v>
      </c>
    </row>
    <row r="1671" spans="13:14" x14ac:dyDescent="0.25">
      <c r="M1671" s="65" t="s">
        <v>3371</v>
      </c>
      <c r="N1671" s="65" t="s">
        <v>3372</v>
      </c>
    </row>
    <row r="1672" spans="13:14" x14ac:dyDescent="0.25">
      <c r="M1672" s="65" t="s">
        <v>3373</v>
      </c>
      <c r="N1672" s="65" t="s">
        <v>3374</v>
      </c>
    </row>
    <row r="1673" spans="13:14" x14ac:dyDescent="0.25">
      <c r="M1673" s="65" t="s">
        <v>3375</v>
      </c>
      <c r="N1673" s="65" t="s">
        <v>3376</v>
      </c>
    </row>
    <row r="1674" spans="13:14" x14ac:dyDescent="0.25">
      <c r="M1674" s="65" t="s">
        <v>3377</v>
      </c>
      <c r="N1674" s="65" t="s">
        <v>3378</v>
      </c>
    </row>
    <row r="1675" spans="13:14" x14ac:dyDescent="0.25">
      <c r="M1675" s="65" t="s">
        <v>3379</v>
      </c>
      <c r="N1675" s="65" t="s">
        <v>3380</v>
      </c>
    </row>
    <row r="1676" spans="13:14" x14ac:dyDescent="0.25">
      <c r="M1676" s="65" t="s">
        <v>3381</v>
      </c>
      <c r="N1676" s="65" t="s">
        <v>3382</v>
      </c>
    </row>
    <row r="1677" spans="13:14" x14ac:dyDescent="0.25">
      <c r="M1677" s="65" t="s">
        <v>3383</v>
      </c>
      <c r="N1677" s="65" t="s">
        <v>3384</v>
      </c>
    </row>
    <row r="1678" spans="13:14" x14ac:dyDescent="0.25">
      <c r="M1678" s="65" t="s">
        <v>3385</v>
      </c>
      <c r="N1678" s="65" t="s">
        <v>3386</v>
      </c>
    </row>
    <row r="1679" spans="13:14" x14ac:dyDescent="0.25">
      <c r="M1679" s="65" t="s">
        <v>3387</v>
      </c>
      <c r="N1679" s="65" t="s">
        <v>3388</v>
      </c>
    </row>
    <row r="1680" spans="13:14" x14ac:dyDescent="0.25">
      <c r="M1680" s="65" t="s">
        <v>3389</v>
      </c>
      <c r="N1680" s="65" t="s">
        <v>3390</v>
      </c>
    </row>
    <row r="1681" spans="13:14" x14ac:dyDescent="0.25">
      <c r="M1681" s="65" t="s">
        <v>3391</v>
      </c>
      <c r="N1681" s="65" t="s">
        <v>3392</v>
      </c>
    </row>
    <row r="1682" spans="13:14" x14ac:dyDescent="0.25">
      <c r="M1682" s="65" t="s">
        <v>3393</v>
      </c>
      <c r="N1682" s="65" t="s">
        <v>3394</v>
      </c>
    </row>
    <row r="1683" spans="13:14" x14ac:dyDescent="0.25">
      <c r="M1683" s="65" t="s">
        <v>3395</v>
      </c>
      <c r="N1683" s="65" t="s">
        <v>3396</v>
      </c>
    </row>
    <row r="1684" spans="13:14" x14ac:dyDescent="0.25">
      <c r="M1684" s="65" t="s">
        <v>3397</v>
      </c>
      <c r="N1684" s="65" t="s">
        <v>3398</v>
      </c>
    </row>
    <row r="1685" spans="13:14" x14ac:dyDescent="0.25">
      <c r="M1685" s="65" t="s">
        <v>3399</v>
      </c>
      <c r="N1685" s="65" t="s">
        <v>3400</v>
      </c>
    </row>
    <row r="1686" spans="13:14" x14ac:dyDescent="0.25">
      <c r="M1686" s="65" t="s">
        <v>3401</v>
      </c>
      <c r="N1686" s="65" t="s">
        <v>3402</v>
      </c>
    </row>
    <row r="1687" spans="13:14" x14ac:dyDescent="0.25">
      <c r="M1687" s="65" t="s">
        <v>3403</v>
      </c>
      <c r="N1687" s="65" t="s">
        <v>3404</v>
      </c>
    </row>
    <row r="1688" spans="13:14" x14ac:dyDescent="0.25">
      <c r="M1688" s="65" t="s">
        <v>3405</v>
      </c>
      <c r="N1688" s="65" t="s">
        <v>3406</v>
      </c>
    </row>
    <row r="1689" spans="13:14" x14ac:dyDescent="0.25">
      <c r="M1689" s="65" t="s">
        <v>3407</v>
      </c>
      <c r="N1689" s="65" t="s">
        <v>3408</v>
      </c>
    </row>
    <row r="1690" spans="13:14" x14ac:dyDescent="0.25">
      <c r="M1690" s="65" t="s">
        <v>3409</v>
      </c>
      <c r="N1690" s="65" t="s">
        <v>3410</v>
      </c>
    </row>
    <row r="1691" spans="13:14" x14ac:dyDescent="0.25">
      <c r="M1691" s="65" t="s">
        <v>3411</v>
      </c>
      <c r="N1691" s="65" t="s">
        <v>3412</v>
      </c>
    </row>
    <row r="1692" spans="13:14" x14ac:dyDescent="0.25">
      <c r="M1692" s="65" t="s">
        <v>3413</v>
      </c>
      <c r="N1692" s="65" t="s">
        <v>3414</v>
      </c>
    </row>
    <row r="1693" spans="13:14" x14ac:dyDescent="0.25">
      <c r="M1693" s="65" t="s">
        <v>3415</v>
      </c>
      <c r="N1693" s="65" t="s">
        <v>3416</v>
      </c>
    </row>
    <row r="1694" spans="13:14" x14ac:dyDescent="0.25">
      <c r="M1694" s="65" t="s">
        <v>3417</v>
      </c>
      <c r="N1694" s="65" t="s">
        <v>3418</v>
      </c>
    </row>
    <row r="1695" spans="13:14" x14ac:dyDescent="0.25">
      <c r="M1695" s="65" t="s">
        <v>3419</v>
      </c>
      <c r="N1695" s="65" t="s">
        <v>3420</v>
      </c>
    </row>
    <row r="1696" spans="13:14" x14ac:dyDescent="0.25">
      <c r="M1696" s="65" t="s">
        <v>3421</v>
      </c>
      <c r="N1696" s="65" t="s">
        <v>3422</v>
      </c>
    </row>
    <row r="1697" spans="13:14" x14ac:dyDescent="0.25">
      <c r="M1697" s="65" t="s">
        <v>3423</v>
      </c>
      <c r="N1697" s="65" t="s">
        <v>3424</v>
      </c>
    </row>
    <row r="1698" spans="13:14" x14ac:dyDescent="0.25">
      <c r="M1698" s="65" t="s">
        <v>3425</v>
      </c>
      <c r="N1698" s="65" t="s">
        <v>3426</v>
      </c>
    </row>
    <row r="1699" spans="13:14" x14ac:dyDescent="0.25">
      <c r="M1699" s="65" t="s">
        <v>3427</v>
      </c>
      <c r="N1699" s="65" t="s">
        <v>3428</v>
      </c>
    </row>
    <row r="1700" spans="13:14" x14ac:dyDescent="0.25">
      <c r="M1700" s="65" t="s">
        <v>3429</v>
      </c>
      <c r="N1700" s="65" t="s">
        <v>3430</v>
      </c>
    </row>
    <row r="1701" spans="13:14" x14ac:dyDescent="0.25">
      <c r="M1701" s="65" t="s">
        <v>3431</v>
      </c>
      <c r="N1701" s="65" t="s">
        <v>3432</v>
      </c>
    </row>
    <row r="1702" spans="13:14" x14ac:dyDescent="0.25">
      <c r="M1702" s="65" t="s">
        <v>3433</v>
      </c>
      <c r="N1702" s="65" t="s">
        <v>3434</v>
      </c>
    </row>
    <row r="1703" spans="13:14" x14ac:dyDescent="0.25">
      <c r="M1703" s="65" t="s">
        <v>3435</v>
      </c>
      <c r="N1703" s="65" t="s">
        <v>3436</v>
      </c>
    </row>
    <row r="1704" spans="13:14" x14ac:dyDescent="0.25">
      <c r="M1704" s="65" t="s">
        <v>3437</v>
      </c>
      <c r="N1704" s="65" t="s">
        <v>3438</v>
      </c>
    </row>
    <row r="1705" spans="13:14" x14ac:dyDescent="0.25">
      <c r="M1705" s="65" t="s">
        <v>3439</v>
      </c>
      <c r="N1705" s="65" t="s">
        <v>3440</v>
      </c>
    </row>
    <row r="1706" spans="13:14" x14ac:dyDescent="0.25">
      <c r="M1706" s="65" t="s">
        <v>3441</v>
      </c>
      <c r="N1706" s="65" t="s">
        <v>3442</v>
      </c>
    </row>
    <row r="1707" spans="13:14" x14ac:dyDescent="0.25">
      <c r="M1707" s="65" t="s">
        <v>3443</v>
      </c>
      <c r="N1707" s="65" t="s">
        <v>3444</v>
      </c>
    </row>
    <row r="1708" spans="13:14" x14ac:dyDescent="0.25">
      <c r="M1708" s="65" t="s">
        <v>3445</v>
      </c>
      <c r="N1708" s="65" t="s">
        <v>3446</v>
      </c>
    </row>
    <row r="1709" spans="13:14" x14ac:dyDescent="0.25">
      <c r="M1709" s="65" t="s">
        <v>3447</v>
      </c>
      <c r="N1709" s="65" t="s">
        <v>3448</v>
      </c>
    </row>
    <row r="1710" spans="13:14" x14ac:dyDescent="0.25">
      <c r="M1710" s="65" t="s">
        <v>3449</v>
      </c>
      <c r="N1710" s="65" t="s">
        <v>3450</v>
      </c>
    </row>
    <row r="1711" spans="13:14" x14ac:dyDescent="0.25">
      <c r="M1711" s="65" t="s">
        <v>3451</v>
      </c>
      <c r="N1711" s="65" t="s">
        <v>3452</v>
      </c>
    </row>
    <row r="1712" spans="13:14" x14ac:dyDescent="0.25">
      <c r="M1712" s="65" t="s">
        <v>3453</v>
      </c>
      <c r="N1712" s="65" t="s">
        <v>3454</v>
      </c>
    </row>
    <row r="1713" spans="13:14" x14ac:dyDescent="0.25">
      <c r="M1713" s="65" t="s">
        <v>3455</v>
      </c>
      <c r="N1713" s="65" t="s">
        <v>3456</v>
      </c>
    </row>
    <row r="1714" spans="13:14" x14ac:dyDescent="0.25">
      <c r="M1714" s="65" t="s">
        <v>3457</v>
      </c>
      <c r="N1714" s="65" t="s">
        <v>3458</v>
      </c>
    </row>
    <row r="1715" spans="13:14" x14ac:dyDescent="0.25">
      <c r="M1715" s="65" t="s">
        <v>3459</v>
      </c>
      <c r="N1715" s="65" t="s">
        <v>3460</v>
      </c>
    </row>
    <row r="1716" spans="13:14" x14ac:dyDescent="0.25">
      <c r="M1716" s="65" t="s">
        <v>3461</v>
      </c>
      <c r="N1716" s="65" t="s">
        <v>3462</v>
      </c>
    </row>
    <row r="1717" spans="13:14" x14ac:dyDescent="0.25">
      <c r="M1717" s="65" t="s">
        <v>3463</v>
      </c>
      <c r="N1717" s="65" t="s">
        <v>3464</v>
      </c>
    </row>
    <row r="1718" spans="13:14" x14ac:dyDescent="0.25">
      <c r="M1718" s="65" t="s">
        <v>3465</v>
      </c>
      <c r="N1718" s="65" t="s">
        <v>3466</v>
      </c>
    </row>
    <row r="1719" spans="13:14" x14ac:dyDescent="0.25">
      <c r="M1719" s="65" t="s">
        <v>3467</v>
      </c>
      <c r="N1719" s="65" t="s">
        <v>3468</v>
      </c>
    </row>
    <row r="1720" spans="13:14" x14ac:dyDescent="0.25">
      <c r="M1720" s="65" t="s">
        <v>3469</v>
      </c>
      <c r="N1720" s="65" t="s">
        <v>3470</v>
      </c>
    </row>
    <row r="1721" spans="13:14" x14ac:dyDescent="0.25">
      <c r="M1721" s="65" t="s">
        <v>3471</v>
      </c>
      <c r="N1721" s="65" t="s">
        <v>3472</v>
      </c>
    </row>
    <row r="1722" spans="13:14" x14ac:dyDescent="0.25">
      <c r="M1722" s="65" t="s">
        <v>3473</v>
      </c>
      <c r="N1722" s="65" t="s">
        <v>3474</v>
      </c>
    </row>
    <row r="1723" spans="13:14" x14ac:dyDescent="0.25">
      <c r="M1723" s="65" t="s">
        <v>3475</v>
      </c>
      <c r="N1723" s="65" t="s">
        <v>3476</v>
      </c>
    </row>
    <row r="1724" spans="13:14" x14ac:dyDescent="0.25">
      <c r="M1724" s="65" t="s">
        <v>3477</v>
      </c>
      <c r="N1724" s="65" t="s">
        <v>3478</v>
      </c>
    </row>
    <row r="1725" spans="13:14" x14ac:dyDescent="0.25">
      <c r="M1725" s="65" t="s">
        <v>3479</v>
      </c>
      <c r="N1725" s="65" t="s">
        <v>3480</v>
      </c>
    </row>
    <row r="1726" spans="13:14" x14ac:dyDescent="0.25">
      <c r="M1726" s="65" t="s">
        <v>3481</v>
      </c>
      <c r="N1726" s="65" t="s">
        <v>3482</v>
      </c>
    </row>
    <row r="1727" spans="13:14" x14ac:dyDescent="0.25">
      <c r="M1727" s="65" t="s">
        <v>3483</v>
      </c>
      <c r="N1727" s="65" t="s">
        <v>3484</v>
      </c>
    </row>
    <row r="1728" spans="13:14" x14ac:dyDescent="0.25">
      <c r="M1728" s="65" t="s">
        <v>3485</v>
      </c>
      <c r="N1728" s="65" t="s">
        <v>3486</v>
      </c>
    </row>
    <row r="1729" spans="13:14" x14ac:dyDescent="0.25">
      <c r="M1729" s="65" t="s">
        <v>3487</v>
      </c>
      <c r="N1729" s="65" t="s">
        <v>3488</v>
      </c>
    </row>
    <row r="1730" spans="13:14" x14ac:dyDescent="0.25">
      <c r="M1730" s="65" t="s">
        <v>3489</v>
      </c>
      <c r="N1730" s="65" t="s">
        <v>3490</v>
      </c>
    </row>
    <row r="1731" spans="13:14" x14ac:dyDescent="0.25">
      <c r="M1731" s="65" t="s">
        <v>3491</v>
      </c>
      <c r="N1731" s="65" t="s">
        <v>3492</v>
      </c>
    </row>
    <row r="1732" spans="13:14" x14ac:dyDescent="0.25">
      <c r="M1732" s="65" t="s">
        <v>3493</v>
      </c>
      <c r="N1732" s="65" t="s">
        <v>3494</v>
      </c>
    </row>
    <row r="1733" spans="13:14" x14ac:dyDescent="0.25">
      <c r="M1733" s="65" t="s">
        <v>3495</v>
      </c>
      <c r="N1733" s="65" t="s">
        <v>3496</v>
      </c>
    </row>
    <row r="1734" spans="13:14" x14ac:dyDescent="0.25">
      <c r="M1734" s="65" t="s">
        <v>3497</v>
      </c>
      <c r="N1734" s="65" t="s">
        <v>3498</v>
      </c>
    </row>
    <row r="1735" spans="13:14" x14ac:dyDescent="0.25">
      <c r="M1735" s="65" t="s">
        <v>3499</v>
      </c>
      <c r="N1735" s="65" t="s">
        <v>3500</v>
      </c>
    </row>
    <row r="1736" spans="13:14" x14ac:dyDescent="0.25">
      <c r="M1736" s="65" t="s">
        <v>3501</v>
      </c>
      <c r="N1736" s="65" t="s">
        <v>3502</v>
      </c>
    </row>
    <row r="1737" spans="13:14" x14ac:dyDescent="0.25">
      <c r="M1737" s="65" t="s">
        <v>3503</v>
      </c>
      <c r="N1737" s="65" t="s">
        <v>3504</v>
      </c>
    </row>
    <row r="1738" spans="13:14" x14ac:dyDescent="0.25">
      <c r="M1738" s="65" t="s">
        <v>3505</v>
      </c>
      <c r="N1738" s="65" t="s">
        <v>3506</v>
      </c>
    </row>
    <row r="1739" spans="13:14" x14ac:dyDescent="0.25">
      <c r="M1739" s="65" t="s">
        <v>3507</v>
      </c>
      <c r="N1739" s="65" t="s">
        <v>3508</v>
      </c>
    </row>
    <row r="1740" spans="13:14" x14ac:dyDescent="0.25">
      <c r="M1740" s="65" t="s">
        <v>3509</v>
      </c>
      <c r="N1740" s="65" t="s">
        <v>3510</v>
      </c>
    </row>
    <row r="1741" spans="13:14" x14ac:dyDescent="0.25">
      <c r="M1741" s="65" t="s">
        <v>3511</v>
      </c>
      <c r="N1741" s="65" t="s">
        <v>3512</v>
      </c>
    </row>
    <row r="1742" spans="13:14" x14ac:dyDescent="0.25">
      <c r="M1742" s="65" t="s">
        <v>3513</v>
      </c>
      <c r="N1742" s="65" t="s">
        <v>3514</v>
      </c>
    </row>
    <row r="1743" spans="13:14" x14ac:dyDescent="0.25">
      <c r="M1743" s="65" t="s">
        <v>3515</v>
      </c>
      <c r="N1743" s="65" t="s">
        <v>3516</v>
      </c>
    </row>
    <row r="1744" spans="13:14" x14ac:dyDescent="0.25">
      <c r="M1744" s="65" t="s">
        <v>3517</v>
      </c>
      <c r="N1744" s="65" t="s">
        <v>3518</v>
      </c>
    </row>
    <row r="1745" spans="13:14" x14ac:dyDescent="0.25">
      <c r="M1745" s="65" t="s">
        <v>3519</v>
      </c>
      <c r="N1745" s="65" t="s">
        <v>3520</v>
      </c>
    </row>
    <row r="1746" spans="13:14" x14ac:dyDescent="0.25">
      <c r="M1746" s="65" t="s">
        <v>3521</v>
      </c>
      <c r="N1746" s="65" t="s">
        <v>3522</v>
      </c>
    </row>
    <row r="1747" spans="13:14" x14ac:dyDescent="0.25">
      <c r="M1747" s="65" t="s">
        <v>3523</v>
      </c>
      <c r="N1747" s="65" t="s">
        <v>3524</v>
      </c>
    </row>
    <row r="1748" spans="13:14" x14ac:dyDescent="0.25">
      <c r="M1748" s="65" t="s">
        <v>3525</v>
      </c>
      <c r="N1748" s="65" t="s">
        <v>3526</v>
      </c>
    </row>
    <row r="1749" spans="13:14" x14ac:dyDescent="0.25">
      <c r="M1749" s="65" t="s">
        <v>3527</v>
      </c>
      <c r="N1749" s="65" t="s">
        <v>3528</v>
      </c>
    </row>
    <row r="1750" spans="13:14" x14ac:dyDescent="0.25">
      <c r="M1750" s="65" t="s">
        <v>3529</v>
      </c>
      <c r="N1750" s="65" t="s">
        <v>3530</v>
      </c>
    </row>
    <row r="1751" spans="13:14" x14ac:dyDescent="0.25">
      <c r="M1751" s="65" t="s">
        <v>3531</v>
      </c>
      <c r="N1751" s="65" t="s">
        <v>3532</v>
      </c>
    </row>
    <row r="1752" spans="13:14" x14ac:dyDescent="0.25">
      <c r="M1752" s="65" t="s">
        <v>3533</v>
      </c>
      <c r="N1752" s="65" t="s">
        <v>3534</v>
      </c>
    </row>
    <row r="1753" spans="13:14" x14ac:dyDescent="0.25">
      <c r="M1753" s="65" t="s">
        <v>3535</v>
      </c>
      <c r="N1753" s="65" t="s">
        <v>3536</v>
      </c>
    </row>
    <row r="1754" spans="13:14" x14ac:dyDescent="0.25">
      <c r="M1754" s="65" t="s">
        <v>3537</v>
      </c>
      <c r="N1754" s="65" t="s">
        <v>3538</v>
      </c>
    </row>
    <row r="1755" spans="13:14" x14ac:dyDescent="0.25">
      <c r="M1755" s="65" t="s">
        <v>3539</v>
      </c>
      <c r="N1755" s="65" t="s">
        <v>3540</v>
      </c>
    </row>
    <row r="1756" spans="13:14" x14ac:dyDescent="0.25">
      <c r="M1756" s="65" t="s">
        <v>3541</v>
      </c>
      <c r="N1756" s="65" t="s">
        <v>3542</v>
      </c>
    </row>
    <row r="1757" spans="13:14" x14ac:dyDescent="0.25">
      <c r="M1757" s="65" t="s">
        <v>3543</v>
      </c>
      <c r="N1757" s="65" t="s">
        <v>3544</v>
      </c>
    </row>
    <row r="1758" spans="13:14" x14ac:dyDescent="0.25">
      <c r="M1758" s="65" t="s">
        <v>3545</v>
      </c>
      <c r="N1758" s="65" t="s">
        <v>3546</v>
      </c>
    </row>
    <row r="1759" spans="13:14" x14ac:dyDescent="0.25">
      <c r="M1759" s="65" t="s">
        <v>3547</v>
      </c>
      <c r="N1759" s="65" t="s">
        <v>3548</v>
      </c>
    </row>
    <row r="1760" spans="13:14" x14ac:dyDescent="0.25">
      <c r="M1760" s="65" t="s">
        <v>3549</v>
      </c>
      <c r="N1760" s="65" t="s">
        <v>3550</v>
      </c>
    </row>
    <row r="1761" spans="13:14" x14ac:dyDescent="0.25">
      <c r="M1761" s="65" t="s">
        <v>3551</v>
      </c>
      <c r="N1761" s="65" t="s">
        <v>3552</v>
      </c>
    </row>
    <row r="1762" spans="13:14" x14ac:dyDescent="0.25">
      <c r="M1762" s="65" t="s">
        <v>3553</v>
      </c>
      <c r="N1762" s="65" t="s">
        <v>3554</v>
      </c>
    </row>
    <row r="1763" spans="13:14" x14ac:dyDescent="0.25">
      <c r="M1763" s="65" t="s">
        <v>3555</v>
      </c>
      <c r="N1763" s="65" t="s">
        <v>3556</v>
      </c>
    </row>
    <row r="1764" spans="13:14" x14ac:dyDescent="0.25">
      <c r="M1764" s="65" t="s">
        <v>3557</v>
      </c>
      <c r="N1764" s="65" t="s">
        <v>3558</v>
      </c>
    </row>
    <row r="1765" spans="13:14" x14ac:dyDescent="0.25">
      <c r="M1765" s="65" t="s">
        <v>3559</v>
      </c>
      <c r="N1765" s="65" t="s">
        <v>3560</v>
      </c>
    </row>
    <row r="1766" spans="13:14" x14ac:dyDescent="0.25">
      <c r="M1766" s="65" t="s">
        <v>3561</v>
      </c>
      <c r="N1766" s="65" t="s">
        <v>3562</v>
      </c>
    </row>
    <row r="1767" spans="13:14" x14ac:dyDescent="0.25">
      <c r="M1767" s="65" t="s">
        <v>3563</v>
      </c>
      <c r="N1767" s="65" t="s">
        <v>3564</v>
      </c>
    </row>
    <row r="1768" spans="13:14" x14ac:dyDescent="0.25">
      <c r="M1768" s="65" t="s">
        <v>3565</v>
      </c>
      <c r="N1768" s="65" t="s">
        <v>3566</v>
      </c>
    </row>
    <row r="1769" spans="13:14" x14ac:dyDescent="0.25">
      <c r="M1769" s="65" t="s">
        <v>3567</v>
      </c>
      <c r="N1769" s="65" t="s">
        <v>3568</v>
      </c>
    </row>
    <row r="1770" spans="13:14" x14ac:dyDescent="0.25">
      <c r="M1770" s="65" t="s">
        <v>3569</v>
      </c>
      <c r="N1770" s="65" t="s">
        <v>3570</v>
      </c>
    </row>
    <row r="1771" spans="13:14" x14ac:dyDescent="0.25">
      <c r="M1771" s="65" t="s">
        <v>3571</v>
      </c>
      <c r="N1771" s="65" t="s">
        <v>3572</v>
      </c>
    </row>
    <row r="1772" spans="13:14" x14ac:dyDescent="0.25">
      <c r="M1772" s="65" t="s">
        <v>3573</v>
      </c>
      <c r="N1772" s="65" t="s">
        <v>3574</v>
      </c>
    </row>
    <row r="1773" spans="13:14" x14ac:dyDescent="0.25">
      <c r="M1773" s="65" t="s">
        <v>3575</v>
      </c>
      <c r="N1773" s="65" t="s">
        <v>3576</v>
      </c>
    </row>
    <row r="1774" spans="13:14" x14ac:dyDescent="0.25">
      <c r="M1774" s="65" t="s">
        <v>3577</v>
      </c>
      <c r="N1774" s="65" t="s">
        <v>3578</v>
      </c>
    </row>
    <row r="1775" spans="13:14" x14ac:dyDescent="0.25">
      <c r="M1775" s="65" t="s">
        <v>3579</v>
      </c>
      <c r="N1775" s="65" t="s">
        <v>3580</v>
      </c>
    </row>
    <row r="1776" spans="13:14" x14ac:dyDescent="0.25">
      <c r="M1776" s="65" t="s">
        <v>3581</v>
      </c>
      <c r="N1776" s="65" t="s">
        <v>3582</v>
      </c>
    </row>
    <row r="1777" spans="13:14" x14ac:dyDescent="0.25">
      <c r="M1777" s="65" t="s">
        <v>3583</v>
      </c>
      <c r="N1777" s="65" t="s">
        <v>3584</v>
      </c>
    </row>
    <row r="1778" spans="13:14" x14ac:dyDescent="0.25">
      <c r="M1778" s="65" t="s">
        <v>3585</v>
      </c>
      <c r="N1778" s="65" t="s">
        <v>3586</v>
      </c>
    </row>
    <row r="1779" spans="13:14" x14ac:dyDescent="0.25">
      <c r="M1779" s="65" t="s">
        <v>3587</v>
      </c>
      <c r="N1779" s="65" t="s">
        <v>3588</v>
      </c>
    </row>
    <row r="1780" spans="13:14" x14ac:dyDescent="0.25">
      <c r="M1780" s="65" t="s">
        <v>3589</v>
      </c>
      <c r="N1780" s="65" t="s">
        <v>3590</v>
      </c>
    </row>
    <row r="1781" spans="13:14" x14ac:dyDescent="0.25">
      <c r="M1781" s="65" t="s">
        <v>3591</v>
      </c>
      <c r="N1781" s="65" t="s">
        <v>3592</v>
      </c>
    </row>
    <row r="1782" spans="13:14" x14ac:dyDescent="0.25">
      <c r="M1782" s="65" t="s">
        <v>3593</v>
      </c>
      <c r="N1782" s="65" t="s">
        <v>3594</v>
      </c>
    </row>
    <row r="1783" spans="13:14" x14ac:dyDescent="0.25">
      <c r="M1783" s="65" t="s">
        <v>3595</v>
      </c>
      <c r="N1783" s="65" t="s">
        <v>3596</v>
      </c>
    </row>
    <row r="1784" spans="13:14" x14ac:dyDescent="0.25">
      <c r="M1784" s="65" t="s">
        <v>3597</v>
      </c>
      <c r="N1784" s="65" t="s">
        <v>3598</v>
      </c>
    </row>
    <row r="1785" spans="13:14" x14ac:dyDescent="0.25">
      <c r="M1785" s="65" t="s">
        <v>3599</v>
      </c>
      <c r="N1785" s="65" t="s">
        <v>3600</v>
      </c>
    </row>
    <row r="1786" spans="13:14" x14ac:dyDescent="0.25">
      <c r="M1786" s="65" t="s">
        <v>3601</v>
      </c>
      <c r="N1786" s="65" t="s">
        <v>3602</v>
      </c>
    </row>
    <row r="1787" spans="13:14" x14ac:dyDescent="0.25">
      <c r="M1787" s="65" t="s">
        <v>3603</v>
      </c>
      <c r="N1787" s="65" t="s">
        <v>3604</v>
      </c>
    </row>
    <row r="1788" spans="13:14" x14ac:dyDescent="0.25">
      <c r="M1788" s="65" t="s">
        <v>3605</v>
      </c>
      <c r="N1788" s="65" t="s">
        <v>3606</v>
      </c>
    </row>
    <row r="1789" spans="13:14" x14ac:dyDescent="0.25">
      <c r="M1789" s="65" t="s">
        <v>3607</v>
      </c>
      <c r="N1789" s="65" t="s">
        <v>3608</v>
      </c>
    </row>
    <row r="1790" spans="13:14" x14ac:dyDescent="0.25">
      <c r="M1790" s="65" t="s">
        <v>3609</v>
      </c>
      <c r="N1790" s="65" t="s">
        <v>3610</v>
      </c>
    </row>
    <row r="1791" spans="13:14" x14ac:dyDescent="0.25">
      <c r="M1791" s="65" t="s">
        <v>3611</v>
      </c>
      <c r="N1791" s="65" t="s">
        <v>3612</v>
      </c>
    </row>
    <row r="1792" spans="13:14" x14ac:dyDescent="0.25">
      <c r="M1792" s="65" t="s">
        <v>3613</v>
      </c>
      <c r="N1792" s="65" t="s">
        <v>3614</v>
      </c>
    </row>
    <row r="1793" spans="13:14" x14ac:dyDescent="0.25">
      <c r="M1793" s="65" t="s">
        <v>3615</v>
      </c>
      <c r="N1793" s="65" t="s">
        <v>3616</v>
      </c>
    </row>
    <row r="1794" spans="13:14" x14ac:dyDescent="0.25">
      <c r="M1794" s="65" t="s">
        <v>3617</v>
      </c>
      <c r="N1794" s="65" t="s">
        <v>3618</v>
      </c>
    </row>
    <row r="1795" spans="13:14" x14ac:dyDescent="0.25">
      <c r="M1795" s="65" t="s">
        <v>3619</v>
      </c>
      <c r="N1795" s="65" t="s">
        <v>3620</v>
      </c>
    </row>
    <row r="1796" spans="13:14" x14ac:dyDescent="0.25">
      <c r="M1796" s="65" t="s">
        <v>3621</v>
      </c>
      <c r="N1796" s="65" t="s">
        <v>3622</v>
      </c>
    </row>
    <row r="1797" spans="13:14" x14ac:dyDescent="0.25">
      <c r="M1797" s="65" t="s">
        <v>3623</v>
      </c>
      <c r="N1797" s="65" t="s">
        <v>3624</v>
      </c>
    </row>
    <row r="1798" spans="13:14" x14ac:dyDescent="0.25">
      <c r="M1798" s="65" t="s">
        <v>3625</v>
      </c>
      <c r="N1798" s="65" t="s">
        <v>3626</v>
      </c>
    </row>
    <row r="1799" spans="13:14" x14ac:dyDescent="0.25">
      <c r="M1799" s="65" t="s">
        <v>3627</v>
      </c>
      <c r="N1799" s="65" t="s">
        <v>3628</v>
      </c>
    </row>
    <row r="1800" spans="13:14" x14ac:dyDescent="0.25">
      <c r="M1800" s="65" t="s">
        <v>3629</v>
      </c>
      <c r="N1800" s="65" t="s">
        <v>3630</v>
      </c>
    </row>
    <row r="1801" spans="13:14" x14ac:dyDescent="0.25">
      <c r="M1801" s="65" t="s">
        <v>3631</v>
      </c>
      <c r="N1801" s="65" t="s">
        <v>3632</v>
      </c>
    </row>
    <row r="1802" spans="13:14" x14ac:dyDescent="0.25">
      <c r="M1802" s="65" t="s">
        <v>3633</v>
      </c>
      <c r="N1802" s="65" t="s">
        <v>3634</v>
      </c>
    </row>
    <row r="1803" spans="13:14" x14ac:dyDescent="0.25">
      <c r="M1803" s="65" t="s">
        <v>3635</v>
      </c>
      <c r="N1803" s="65" t="s">
        <v>3636</v>
      </c>
    </row>
    <row r="1804" spans="13:14" x14ac:dyDescent="0.25">
      <c r="M1804" s="65" t="s">
        <v>3637</v>
      </c>
      <c r="N1804" s="65" t="s">
        <v>3638</v>
      </c>
    </row>
    <row r="1805" spans="13:14" x14ac:dyDescent="0.25">
      <c r="M1805" s="65" t="s">
        <v>3639</v>
      </c>
      <c r="N1805" s="65" t="s">
        <v>3640</v>
      </c>
    </row>
    <row r="1806" spans="13:14" x14ac:dyDescent="0.25">
      <c r="M1806" s="65" t="s">
        <v>3641</v>
      </c>
      <c r="N1806" s="65" t="s">
        <v>3642</v>
      </c>
    </row>
    <row r="1807" spans="13:14" x14ac:dyDescent="0.25">
      <c r="M1807" s="65" t="s">
        <v>3643</v>
      </c>
      <c r="N1807" s="65" t="s">
        <v>3644</v>
      </c>
    </row>
    <row r="1808" spans="13:14" x14ac:dyDescent="0.25">
      <c r="M1808" s="65" t="s">
        <v>3645</v>
      </c>
      <c r="N1808" s="65" t="s">
        <v>3646</v>
      </c>
    </row>
    <row r="1809" spans="13:14" x14ac:dyDescent="0.25">
      <c r="M1809" s="65" t="s">
        <v>3647</v>
      </c>
      <c r="N1809" s="65" t="s">
        <v>3648</v>
      </c>
    </row>
    <row r="1810" spans="13:14" x14ac:dyDescent="0.25">
      <c r="M1810" s="65" t="s">
        <v>3649</v>
      </c>
      <c r="N1810" s="65" t="s">
        <v>3650</v>
      </c>
    </row>
    <row r="1811" spans="13:14" x14ac:dyDescent="0.25">
      <c r="M1811" s="65" t="s">
        <v>3651</v>
      </c>
      <c r="N1811" s="65" t="s">
        <v>3652</v>
      </c>
    </row>
    <row r="1812" spans="13:14" x14ac:dyDescent="0.25">
      <c r="M1812" s="65" t="s">
        <v>3653</v>
      </c>
      <c r="N1812" s="65" t="s">
        <v>3654</v>
      </c>
    </row>
    <row r="1813" spans="13:14" x14ac:dyDescent="0.25">
      <c r="M1813" s="65" t="s">
        <v>3655</v>
      </c>
      <c r="N1813" s="65" t="s">
        <v>3656</v>
      </c>
    </row>
    <row r="1814" spans="13:14" x14ac:dyDescent="0.25">
      <c r="M1814" s="65" t="s">
        <v>3657</v>
      </c>
      <c r="N1814" s="65" t="s">
        <v>3658</v>
      </c>
    </row>
    <row r="1815" spans="13:14" x14ac:dyDescent="0.25">
      <c r="M1815" s="65" t="s">
        <v>3659</v>
      </c>
      <c r="N1815" s="65" t="s">
        <v>3660</v>
      </c>
    </row>
    <row r="1816" spans="13:14" x14ac:dyDescent="0.25">
      <c r="M1816" s="65" t="s">
        <v>3661</v>
      </c>
      <c r="N1816" s="65" t="s">
        <v>3662</v>
      </c>
    </row>
    <row r="1817" spans="13:14" x14ac:dyDescent="0.25">
      <c r="M1817" s="65" t="s">
        <v>3663</v>
      </c>
      <c r="N1817" s="65" t="s">
        <v>3664</v>
      </c>
    </row>
    <row r="1818" spans="13:14" x14ac:dyDescent="0.25">
      <c r="M1818" s="65" t="s">
        <v>3665</v>
      </c>
      <c r="N1818" s="65" t="s">
        <v>3666</v>
      </c>
    </row>
    <row r="1819" spans="13:14" x14ac:dyDescent="0.25">
      <c r="M1819" s="65" t="s">
        <v>3667</v>
      </c>
      <c r="N1819" s="65" t="s">
        <v>3668</v>
      </c>
    </row>
    <row r="1820" spans="13:14" x14ac:dyDescent="0.25">
      <c r="M1820" s="65" t="s">
        <v>3669</v>
      </c>
      <c r="N1820" s="65" t="s">
        <v>3670</v>
      </c>
    </row>
    <row r="1821" spans="13:14" x14ac:dyDescent="0.25">
      <c r="M1821" s="65" t="s">
        <v>3671</v>
      </c>
      <c r="N1821" s="65" t="s">
        <v>3672</v>
      </c>
    </row>
    <row r="1822" spans="13:14" x14ac:dyDescent="0.25">
      <c r="M1822" s="65" t="s">
        <v>3673</v>
      </c>
      <c r="N1822" s="65" t="s">
        <v>3674</v>
      </c>
    </row>
    <row r="1823" spans="13:14" x14ac:dyDescent="0.25">
      <c r="M1823" s="65" t="s">
        <v>3675</v>
      </c>
      <c r="N1823" s="65" t="s">
        <v>3676</v>
      </c>
    </row>
    <row r="1824" spans="13:14" x14ac:dyDescent="0.25">
      <c r="M1824" s="65" t="s">
        <v>3677</v>
      </c>
      <c r="N1824" s="65" t="s">
        <v>3678</v>
      </c>
    </row>
    <row r="1825" spans="13:14" x14ac:dyDescent="0.25">
      <c r="M1825" s="65" t="s">
        <v>3679</v>
      </c>
      <c r="N1825" s="65" t="s">
        <v>3680</v>
      </c>
    </row>
    <row r="1826" spans="13:14" x14ac:dyDescent="0.25">
      <c r="M1826" s="65" t="s">
        <v>3681</v>
      </c>
      <c r="N1826" s="65" t="s">
        <v>3682</v>
      </c>
    </row>
    <row r="1827" spans="13:14" x14ac:dyDescent="0.25">
      <c r="M1827" s="65" t="s">
        <v>3683</v>
      </c>
      <c r="N1827" s="65" t="s">
        <v>3684</v>
      </c>
    </row>
    <row r="1828" spans="13:14" x14ac:dyDescent="0.25">
      <c r="M1828" s="65" t="s">
        <v>3685</v>
      </c>
      <c r="N1828" s="65" t="s">
        <v>3686</v>
      </c>
    </row>
    <row r="1829" spans="13:14" x14ac:dyDescent="0.25">
      <c r="M1829" s="65" t="s">
        <v>3687</v>
      </c>
      <c r="N1829" s="65" t="s">
        <v>3688</v>
      </c>
    </row>
    <row r="1830" spans="13:14" x14ac:dyDescent="0.25">
      <c r="M1830" s="65" t="s">
        <v>3689</v>
      </c>
      <c r="N1830" s="65" t="s">
        <v>3690</v>
      </c>
    </row>
    <row r="1831" spans="13:14" x14ac:dyDescent="0.25">
      <c r="M1831" s="65" t="s">
        <v>3691</v>
      </c>
      <c r="N1831" s="65" t="s">
        <v>3692</v>
      </c>
    </row>
    <row r="1832" spans="13:14" x14ac:dyDescent="0.25">
      <c r="M1832" s="65" t="s">
        <v>3693</v>
      </c>
      <c r="N1832" s="65" t="s">
        <v>3694</v>
      </c>
    </row>
    <row r="1833" spans="13:14" x14ac:dyDescent="0.25">
      <c r="M1833" s="65" t="s">
        <v>3695</v>
      </c>
      <c r="N1833" s="65" t="s">
        <v>3696</v>
      </c>
    </row>
    <row r="1834" spans="13:14" x14ac:dyDescent="0.25">
      <c r="M1834" s="65" t="s">
        <v>3697</v>
      </c>
      <c r="N1834" s="65" t="s">
        <v>3698</v>
      </c>
    </row>
    <row r="1835" spans="13:14" x14ac:dyDescent="0.25">
      <c r="M1835" s="65" t="s">
        <v>3699</v>
      </c>
      <c r="N1835" s="65" t="s">
        <v>3700</v>
      </c>
    </row>
    <row r="1836" spans="13:14" x14ac:dyDescent="0.25">
      <c r="M1836" s="65" t="s">
        <v>3701</v>
      </c>
      <c r="N1836" s="65" t="s">
        <v>3702</v>
      </c>
    </row>
    <row r="1837" spans="13:14" x14ac:dyDescent="0.25">
      <c r="M1837" s="65" t="s">
        <v>3703</v>
      </c>
      <c r="N1837" s="65" t="s">
        <v>3704</v>
      </c>
    </row>
    <row r="1838" spans="13:14" x14ac:dyDescent="0.25">
      <c r="M1838" s="65" t="s">
        <v>3705</v>
      </c>
      <c r="N1838" s="65" t="s">
        <v>3706</v>
      </c>
    </row>
    <row r="1839" spans="13:14" x14ac:dyDescent="0.25">
      <c r="M1839" s="65" t="s">
        <v>3707</v>
      </c>
      <c r="N1839" s="65" t="s">
        <v>3708</v>
      </c>
    </row>
    <row r="1840" spans="13:14" x14ac:dyDescent="0.25">
      <c r="M1840" s="65" t="s">
        <v>3709</v>
      </c>
      <c r="N1840" s="65" t="s">
        <v>3710</v>
      </c>
    </row>
    <row r="1841" spans="13:14" x14ac:dyDescent="0.25">
      <c r="M1841" s="65" t="s">
        <v>3711</v>
      </c>
      <c r="N1841" s="65" t="s">
        <v>3712</v>
      </c>
    </row>
    <row r="1842" spans="13:14" x14ac:dyDescent="0.25">
      <c r="M1842" s="65" t="s">
        <v>3713</v>
      </c>
      <c r="N1842" s="65" t="s">
        <v>3714</v>
      </c>
    </row>
    <row r="1843" spans="13:14" x14ac:dyDescent="0.25">
      <c r="M1843" s="65" t="s">
        <v>3715</v>
      </c>
      <c r="N1843" s="65" t="s">
        <v>3716</v>
      </c>
    </row>
    <row r="1844" spans="13:14" x14ac:dyDescent="0.25">
      <c r="M1844" s="65" t="s">
        <v>3717</v>
      </c>
      <c r="N1844" s="65" t="s">
        <v>3718</v>
      </c>
    </row>
    <row r="1845" spans="13:14" x14ac:dyDescent="0.25">
      <c r="M1845" s="65" t="s">
        <v>3719</v>
      </c>
      <c r="N1845" s="65" t="s">
        <v>3720</v>
      </c>
    </row>
    <row r="1846" spans="13:14" x14ac:dyDescent="0.25">
      <c r="M1846" s="65" t="s">
        <v>3721</v>
      </c>
      <c r="N1846" s="65" t="s">
        <v>3722</v>
      </c>
    </row>
    <row r="1847" spans="13:14" x14ac:dyDescent="0.25">
      <c r="M1847" s="65" t="s">
        <v>3723</v>
      </c>
      <c r="N1847" s="65" t="s">
        <v>3724</v>
      </c>
    </row>
    <row r="1848" spans="13:14" x14ac:dyDescent="0.25">
      <c r="M1848" s="65" t="s">
        <v>3725</v>
      </c>
      <c r="N1848" s="65" t="s">
        <v>3726</v>
      </c>
    </row>
    <row r="1849" spans="13:14" x14ac:dyDescent="0.25">
      <c r="M1849" s="65" t="s">
        <v>3727</v>
      </c>
      <c r="N1849" s="65" t="s">
        <v>3728</v>
      </c>
    </row>
    <row r="1850" spans="13:14" x14ac:dyDescent="0.25">
      <c r="M1850" s="65" t="s">
        <v>3729</v>
      </c>
      <c r="N1850" s="65" t="s">
        <v>3730</v>
      </c>
    </row>
    <row r="1851" spans="13:14" x14ac:dyDescent="0.25">
      <c r="M1851" s="65" t="s">
        <v>3731</v>
      </c>
      <c r="N1851" s="65" t="s">
        <v>3732</v>
      </c>
    </row>
    <row r="1852" spans="13:14" x14ac:dyDescent="0.25">
      <c r="M1852" s="65" t="s">
        <v>3733</v>
      </c>
      <c r="N1852" s="65" t="s">
        <v>3734</v>
      </c>
    </row>
    <row r="1853" spans="13:14" x14ac:dyDescent="0.25">
      <c r="M1853" s="65" t="s">
        <v>3735</v>
      </c>
      <c r="N1853" s="65" t="s">
        <v>3736</v>
      </c>
    </row>
    <row r="1854" spans="13:14" x14ac:dyDescent="0.25">
      <c r="M1854" s="65" t="s">
        <v>3737</v>
      </c>
      <c r="N1854" s="65" t="s">
        <v>3738</v>
      </c>
    </row>
    <row r="1855" spans="13:14" x14ac:dyDescent="0.25">
      <c r="M1855" s="65" t="s">
        <v>3739</v>
      </c>
      <c r="N1855" s="65" t="s">
        <v>3740</v>
      </c>
    </row>
    <row r="1856" spans="13:14" x14ac:dyDescent="0.25">
      <c r="M1856" s="65" t="s">
        <v>3741</v>
      </c>
      <c r="N1856" s="65" t="s">
        <v>3742</v>
      </c>
    </row>
    <row r="1857" spans="13:14" x14ac:dyDescent="0.25">
      <c r="M1857" s="65" t="s">
        <v>3743</v>
      </c>
      <c r="N1857" s="65" t="s">
        <v>3744</v>
      </c>
    </row>
    <row r="1858" spans="13:14" x14ac:dyDescent="0.25">
      <c r="M1858" s="65" t="s">
        <v>3745</v>
      </c>
      <c r="N1858" s="65" t="s">
        <v>3746</v>
      </c>
    </row>
    <row r="1859" spans="13:14" x14ac:dyDescent="0.25">
      <c r="M1859" s="65" t="s">
        <v>3747</v>
      </c>
      <c r="N1859" s="65" t="s">
        <v>3748</v>
      </c>
    </row>
    <row r="1860" spans="13:14" x14ac:dyDescent="0.25">
      <c r="M1860" s="65" t="s">
        <v>3749</v>
      </c>
      <c r="N1860" s="65" t="s">
        <v>3750</v>
      </c>
    </row>
    <row r="1861" spans="13:14" x14ac:dyDescent="0.25">
      <c r="M1861" s="65" t="s">
        <v>3751</v>
      </c>
      <c r="N1861" s="65" t="s">
        <v>3752</v>
      </c>
    </row>
    <row r="1862" spans="13:14" x14ac:dyDescent="0.25">
      <c r="M1862" s="65" t="s">
        <v>3753</v>
      </c>
      <c r="N1862" s="65" t="s">
        <v>3754</v>
      </c>
    </row>
    <row r="1863" spans="13:14" x14ac:dyDescent="0.25">
      <c r="M1863" s="65" t="s">
        <v>3755</v>
      </c>
      <c r="N1863" s="65" t="s">
        <v>3756</v>
      </c>
    </row>
    <row r="1864" spans="13:14" x14ac:dyDescent="0.25">
      <c r="M1864" s="65" t="s">
        <v>3757</v>
      </c>
      <c r="N1864" s="65" t="s">
        <v>3758</v>
      </c>
    </row>
    <row r="1865" spans="13:14" x14ac:dyDescent="0.25">
      <c r="M1865" s="65" t="s">
        <v>3759</v>
      </c>
      <c r="N1865" s="65" t="s">
        <v>3760</v>
      </c>
    </row>
    <row r="1866" spans="13:14" x14ac:dyDescent="0.25">
      <c r="M1866" s="65" t="s">
        <v>3761</v>
      </c>
      <c r="N1866" s="65" t="s">
        <v>3762</v>
      </c>
    </row>
    <row r="1867" spans="13:14" x14ac:dyDescent="0.25">
      <c r="M1867" s="65" t="s">
        <v>3763</v>
      </c>
      <c r="N1867" s="65" t="s">
        <v>3764</v>
      </c>
    </row>
    <row r="1868" spans="13:14" x14ac:dyDescent="0.25">
      <c r="M1868" s="65" t="s">
        <v>3765</v>
      </c>
      <c r="N1868" s="65" t="s">
        <v>3766</v>
      </c>
    </row>
    <row r="1869" spans="13:14" x14ac:dyDescent="0.25">
      <c r="M1869" s="65" t="s">
        <v>3767</v>
      </c>
      <c r="N1869" s="65" t="s">
        <v>3768</v>
      </c>
    </row>
    <row r="1870" spans="13:14" x14ac:dyDescent="0.25">
      <c r="M1870" s="65" t="s">
        <v>3769</v>
      </c>
      <c r="N1870" s="65" t="s">
        <v>3770</v>
      </c>
    </row>
    <row r="1871" spans="13:14" x14ac:dyDescent="0.25">
      <c r="M1871" s="65" t="s">
        <v>3771</v>
      </c>
      <c r="N1871" s="65" t="s">
        <v>3772</v>
      </c>
    </row>
    <row r="1872" spans="13:14" x14ac:dyDescent="0.25">
      <c r="M1872" s="65" t="s">
        <v>3773</v>
      </c>
      <c r="N1872" s="65" t="s">
        <v>3774</v>
      </c>
    </row>
    <row r="1873" spans="13:14" x14ac:dyDescent="0.25">
      <c r="M1873" s="65" t="s">
        <v>3775</v>
      </c>
      <c r="N1873" s="65" t="s">
        <v>3776</v>
      </c>
    </row>
    <row r="1874" spans="13:14" x14ac:dyDescent="0.25">
      <c r="M1874" s="65" t="s">
        <v>3777</v>
      </c>
      <c r="N1874" s="65" t="s">
        <v>3778</v>
      </c>
    </row>
    <row r="1875" spans="13:14" x14ac:dyDescent="0.25">
      <c r="M1875" s="65" t="s">
        <v>3779</v>
      </c>
      <c r="N1875" s="65" t="s">
        <v>3780</v>
      </c>
    </row>
    <row r="1876" spans="13:14" x14ac:dyDescent="0.25">
      <c r="M1876" s="65" t="s">
        <v>3781</v>
      </c>
      <c r="N1876" s="65" t="s">
        <v>3782</v>
      </c>
    </row>
    <row r="1877" spans="13:14" x14ac:dyDescent="0.25">
      <c r="M1877" s="65" t="s">
        <v>3783</v>
      </c>
      <c r="N1877" s="65" t="s">
        <v>3784</v>
      </c>
    </row>
    <row r="1878" spans="13:14" x14ac:dyDescent="0.25">
      <c r="M1878" s="65" t="s">
        <v>3785</v>
      </c>
      <c r="N1878" s="65" t="s">
        <v>3786</v>
      </c>
    </row>
    <row r="1879" spans="13:14" x14ac:dyDescent="0.25">
      <c r="M1879" s="65" t="s">
        <v>3787</v>
      </c>
      <c r="N1879" s="65" t="s">
        <v>3788</v>
      </c>
    </row>
    <row r="1880" spans="13:14" x14ac:dyDescent="0.25">
      <c r="M1880" s="65" t="s">
        <v>3789</v>
      </c>
      <c r="N1880" s="65" t="s">
        <v>3790</v>
      </c>
    </row>
    <row r="1881" spans="13:14" x14ac:dyDescent="0.25">
      <c r="M1881" s="65" t="s">
        <v>3791</v>
      </c>
      <c r="N1881" s="65" t="s">
        <v>3792</v>
      </c>
    </row>
    <row r="1882" spans="13:14" x14ac:dyDescent="0.25">
      <c r="M1882" s="65" t="s">
        <v>3793</v>
      </c>
      <c r="N1882" s="65" t="s">
        <v>3794</v>
      </c>
    </row>
    <row r="1883" spans="13:14" x14ac:dyDescent="0.25">
      <c r="M1883" s="65" t="s">
        <v>3795</v>
      </c>
      <c r="N1883" s="65" t="s">
        <v>3796</v>
      </c>
    </row>
    <row r="1884" spans="13:14" x14ac:dyDescent="0.25">
      <c r="M1884" s="65" t="s">
        <v>3797</v>
      </c>
      <c r="N1884" s="65" t="s">
        <v>3798</v>
      </c>
    </row>
    <row r="1885" spans="13:14" x14ac:dyDescent="0.25">
      <c r="M1885" s="65" t="s">
        <v>3799</v>
      </c>
      <c r="N1885" s="65" t="s">
        <v>3800</v>
      </c>
    </row>
    <row r="1886" spans="13:14" x14ac:dyDescent="0.25">
      <c r="M1886" s="65" t="s">
        <v>3801</v>
      </c>
      <c r="N1886" s="65" t="s">
        <v>3802</v>
      </c>
    </row>
    <row r="1887" spans="13:14" x14ac:dyDescent="0.25">
      <c r="M1887" s="65" t="s">
        <v>3803</v>
      </c>
      <c r="N1887" s="65" t="s">
        <v>3804</v>
      </c>
    </row>
    <row r="1888" spans="13:14" x14ac:dyDescent="0.25">
      <c r="M1888" s="65" t="s">
        <v>3805</v>
      </c>
      <c r="N1888" s="65" t="s">
        <v>3806</v>
      </c>
    </row>
    <row r="1889" spans="13:14" x14ac:dyDescent="0.25">
      <c r="M1889" s="65" t="s">
        <v>3807</v>
      </c>
      <c r="N1889" s="65" t="s">
        <v>3808</v>
      </c>
    </row>
    <row r="1890" spans="13:14" x14ac:dyDescent="0.25">
      <c r="M1890" s="65" t="s">
        <v>3809</v>
      </c>
      <c r="N1890" s="65" t="s">
        <v>3810</v>
      </c>
    </row>
    <row r="1891" spans="13:14" x14ac:dyDescent="0.25">
      <c r="M1891" s="65" t="s">
        <v>3811</v>
      </c>
      <c r="N1891" s="65" t="s">
        <v>3812</v>
      </c>
    </row>
    <row r="1892" spans="13:14" x14ac:dyDescent="0.25">
      <c r="M1892" s="65" t="s">
        <v>3813</v>
      </c>
      <c r="N1892" s="65" t="s">
        <v>3814</v>
      </c>
    </row>
    <row r="1893" spans="13:14" x14ac:dyDescent="0.25">
      <c r="M1893" s="65" t="s">
        <v>3815</v>
      </c>
      <c r="N1893" s="65" t="s">
        <v>3816</v>
      </c>
    </row>
    <row r="1894" spans="13:14" x14ac:dyDescent="0.25">
      <c r="M1894" s="65" t="s">
        <v>3817</v>
      </c>
      <c r="N1894" s="65" t="s">
        <v>3818</v>
      </c>
    </row>
    <row r="1895" spans="13:14" x14ac:dyDescent="0.25">
      <c r="M1895" s="65" t="s">
        <v>3819</v>
      </c>
      <c r="N1895" s="65" t="s">
        <v>3820</v>
      </c>
    </row>
    <row r="1896" spans="13:14" x14ac:dyDescent="0.25">
      <c r="M1896" s="65" t="s">
        <v>3821</v>
      </c>
      <c r="N1896" s="65" t="s">
        <v>3822</v>
      </c>
    </row>
    <row r="1897" spans="13:14" x14ac:dyDescent="0.25">
      <c r="M1897" s="65" t="s">
        <v>3823</v>
      </c>
      <c r="N1897" s="65" t="s">
        <v>3824</v>
      </c>
    </row>
    <row r="1898" spans="13:14" x14ac:dyDescent="0.25">
      <c r="M1898" s="65" t="s">
        <v>3825</v>
      </c>
      <c r="N1898" s="65" t="s">
        <v>3826</v>
      </c>
    </row>
    <row r="1899" spans="13:14" x14ac:dyDescent="0.25">
      <c r="M1899" s="65" t="s">
        <v>3827</v>
      </c>
      <c r="N1899" s="65" t="s">
        <v>3828</v>
      </c>
    </row>
    <row r="1900" spans="13:14" x14ac:dyDescent="0.25">
      <c r="M1900" s="65" t="s">
        <v>3829</v>
      </c>
      <c r="N1900" s="65" t="s">
        <v>3830</v>
      </c>
    </row>
    <row r="1901" spans="13:14" x14ac:dyDescent="0.25">
      <c r="M1901" s="65" t="s">
        <v>3831</v>
      </c>
      <c r="N1901" s="65" t="s">
        <v>3832</v>
      </c>
    </row>
    <row r="1902" spans="13:14" x14ac:dyDescent="0.25">
      <c r="M1902" s="65" t="s">
        <v>3833</v>
      </c>
      <c r="N1902" s="65" t="s">
        <v>3834</v>
      </c>
    </row>
    <row r="1903" spans="13:14" x14ac:dyDescent="0.25">
      <c r="M1903" s="65" t="s">
        <v>3835</v>
      </c>
      <c r="N1903" s="65" t="s">
        <v>3836</v>
      </c>
    </row>
    <row r="1904" spans="13:14" x14ac:dyDescent="0.25">
      <c r="M1904" s="65" t="s">
        <v>3837</v>
      </c>
      <c r="N1904" s="65" t="s">
        <v>3838</v>
      </c>
    </row>
    <row r="1905" spans="13:14" x14ac:dyDescent="0.25">
      <c r="M1905" s="65" t="s">
        <v>3839</v>
      </c>
      <c r="N1905" s="65" t="s">
        <v>3840</v>
      </c>
    </row>
    <row r="1906" spans="13:14" x14ac:dyDescent="0.25">
      <c r="M1906" s="65" t="s">
        <v>3841</v>
      </c>
      <c r="N1906" s="65" t="s">
        <v>3842</v>
      </c>
    </row>
    <row r="1907" spans="13:14" x14ac:dyDescent="0.25">
      <c r="M1907" s="65" t="s">
        <v>3843</v>
      </c>
      <c r="N1907" s="65" t="s">
        <v>3844</v>
      </c>
    </row>
    <row r="1908" spans="13:14" x14ac:dyDescent="0.25">
      <c r="M1908" s="65" t="s">
        <v>3845</v>
      </c>
      <c r="N1908" s="65" t="s">
        <v>3846</v>
      </c>
    </row>
    <row r="1909" spans="13:14" x14ac:dyDescent="0.25">
      <c r="M1909" s="65" t="s">
        <v>3847</v>
      </c>
      <c r="N1909" s="65" t="s">
        <v>3848</v>
      </c>
    </row>
    <row r="1910" spans="13:14" x14ac:dyDescent="0.25">
      <c r="M1910" s="65" t="s">
        <v>3849</v>
      </c>
      <c r="N1910" s="65" t="s">
        <v>3850</v>
      </c>
    </row>
    <row r="1911" spans="13:14" x14ac:dyDescent="0.25">
      <c r="M1911" s="65" t="s">
        <v>3851</v>
      </c>
      <c r="N1911" s="65" t="s">
        <v>3852</v>
      </c>
    </row>
    <row r="1912" spans="13:14" x14ac:dyDescent="0.25">
      <c r="M1912" s="65" t="s">
        <v>3853</v>
      </c>
      <c r="N1912" s="65" t="s">
        <v>3854</v>
      </c>
    </row>
    <row r="1913" spans="13:14" x14ac:dyDescent="0.25">
      <c r="M1913" s="65" t="s">
        <v>3855</v>
      </c>
      <c r="N1913" s="65" t="s">
        <v>3856</v>
      </c>
    </row>
    <row r="1914" spans="13:14" x14ac:dyDescent="0.25">
      <c r="M1914" s="65" t="s">
        <v>3857</v>
      </c>
      <c r="N1914" s="65" t="s">
        <v>3858</v>
      </c>
    </row>
    <row r="1915" spans="13:14" x14ac:dyDescent="0.25">
      <c r="M1915" s="65" t="s">
        <v>3859</v>
      </c>
      <c r="N1915" s="65" t="s">
        <v>3860</v>
      </c>
    </row>
    <row r="1916" spans="13:14" x14ac:dyDescent="0.25">
      <c r="M1916" s="65" t="s">
        <v>3861</v>
      </c>
      <c r="N1916" s="65" t="s">
        <v>3862</v>
      </c>
    </row>
    <row r="1917" spans="13:14" x14ac:dyDescent="0.25">
      <c r="M1917" s="65" t="s">
        <v>3863</v>
      </c>
      <c r="N1917" s="65" t="s">
        <v>3864</v>
      </c>
    </row>
    <row r="1918" spans="13:14" x14ac:dyDescent="0.25">
      <c r="M1918" s="65" t="s">
        <v>3865</v>
      </c>
      <c r="N1918" s="65" t="s">
        <v>3866</v>
      </c>
    </row>
    <row r="1919" spans="13:14" x14ac:dyDescent="0.25">
      <c r="M1919" s="65" t="s">
        <v>3867</v>
      </c>
      <c r="N1919" s="65" t="s">
        <v>3868</v>
      </c>
    </row>
    <row r="1920" spans="13:14" x14ac:dyDescent="0.25">
      <c r="M1920" s="65" t="s">
        <v>3869</v>
      </c>
      <c r="N1920" s="65" t="s">
        <v>3870</v>
      </c>
    </row>
    <row r="1921" spans="13:14" x14ac:dyDescent="0.25">
      <c r="M1921" s="65" t="s">
        <v>3871</v>
      </c>
      <c r="N1921" s="65" t="s">
        <v>3872</v>
      </c>
    </row>
    <row r="1922" spans="13:14" x14ac:dyDescent="0.25">
      <c r="M1922" s="65" t="s">
        <v>3873</v>
      </c>
      <c r="N1922" s="65" t="s">
        <v>3874</v>
      </c>
    </row>
    <row r="1923" spans="13:14" x14ac:dyDescent="0.25">
      <c r="M1923" s="65" t="s">
        <v>3875</v>
      </c>
      <c r="N1923" s="65" t="s">
        <v>3876</v>
      </c>
    </row>
    <row r="1924" spans="13:14" x14ac:dyDescent="0.25">
      <c r="M1924" s="65" t="s">
        <v>3877</v>
      </c>
      <c r="N1924" s="65" t="s">
        <v>3878</v>
      </c>
    </row>
    <row r="1925" spans="13:14" x14ac:dyDescent="0.25">
      <c r="M1925" s="65" t="s">
        <v>3879</v>
      </c>
      <c r="N1925" s="65" t="s">
        <v>3880</v>
      </c>
    </row>
    <row r="1926" spans="13:14" x14ac:dyDescent="0.25">
      <c r="M1926" s="65" t="s">
        <v>3881</v>
      </c>
      <c r="N1926" s="65" t="s">
        <v>3882</v>
      </c>
    </row>
    <row r="1927" spans="13:14" x14ac:dyDescent="0.25">
      <c r="M1927" s="65" t="s">
        <v>3883</v>
      </c>
      <c r="N1927" s="65" t="s">
        <v>3884</v>
      </c>
    </row>
    <row r="1928" spans="13:14" x14ac:dyDescent="0.25">
      <c r="M1928" s="65" t="s">
        <v>3885</v>
      </c>
      <c r="N1928" s="65" t="s">
        <v>3886</v>
      </c>
    </row>
    <row r="1929" spans="13:14" x14ac:dyDescent="0.25">
      <c r="M1929" s="65" t="s">
        <v>3887</v>
      </c>
      <c r="N1929" s="65" t="s">
        <v>3888</v>
      </c>
    </row>
    <row r="1930" spans="13:14" x14ac:dyDescent="0.25">
      <c r="M1930" s="65" t="s">
        <v>3889</v>
      </c>
      <c r="N1930" s="65" t="s">
        <v>3890</v>
      </c>
    </row>
    <row r="1931" spans="13:14" x14ac:dyDescent="0.25">
      <c r="M1931" s="65" t="s">
        <v>3891</v>
      </c>
      <c r="N1931" s="65" t="s">
        <v>3892</v>
      </c>
    </row>
    <row r="1932" spans="13:14" x14ac:dyDescent="0.25">
      <c r="M1932" s="65" t="s">
        <v>3893</v>
      </c>
      <c r="N1932" s="65" t="s">
        <v>3894</v>
      </c>
    </row>
    <row r="1933" spans="13:14" x14ac:dyDescent="0.25">
      <c r="M1933" s="65" t="s">
        <v>3895</v>
      </c>
      <c r="N1933" s="65" t="s">
        <v>3896</v>
      </c>
    </row>
    <row r="1934" spans="13:14" x14ac:dyDescent="0.25">
      <c r="M1934" s="65" t="s">
        <v>3897</v>
      </c>
      <c r="N1934" s="65" t="s">
        <v>3898</v>
      </c>
    </row>
    <row r="1935" spans="13:14" x14ac:dyDescent="0.25">
      <c r="M1935" s="65" t="s">
        <v>3899</v>
      </c>
      <c r="N1935" s="65" t="s">
        <v>3900</v>
      </c>
    </row>
    <row r="1936" spans="13:14" x14ac:dyDescent="0.25">
      <c r="M1936" s="65" t="s">
        <v>3901</v>
      </c>
      <c r="N1936" s="65" t="s">
        <v>3902</v>
      </c>
    </row>
    <row r="1937" spans="13:14" x14ac:dyDescent="0.25">
      <c r="M1937" s="65" t="s">
        <v>3903</v>
      </c>
      <c r="N1937" s="65" t="s">
        <v>3904</v>
      </c>
    </row>
    <row r="1938" spans="13:14" x14ac:dyDescent="0.25">
      <c r="M1938" s="65" t="s">
        <v>3905</v>
      </c>
      <c r="N1938" s="65" t="s">
        <v>3906</v>
      </c>
    </row>
    <row r="1939" spans="13:14" x14ac:dyDescent="0.25">
      <c r="M1939" s="65" t="s">
        <v>3907</v>
      </c>
      <c r="N1939" s="65" t="s">
        <v>3908</v>
      </c>
    </row>
    <row r="1940" spans="13:14" x14ac:dyDescent="0.25">
      <c r="M1940" s="65" t="s">
        <v>3909</v>
      </c>
      <c r="N1940" s="65" t="s">
        <v>3910</v>
      </c>
    </row>
    <row r="1941" spans="13:14" x14ac:dyDescent="0.25">
      <c r="M1941" s="65" t="s">
        <v>3911</v>
      </c>
      <c r="N1941" s="65" t="s">
        <v>3912</v>
      </c>
    </row>
    <row r="1942" spans="13:14" x14ac:dyDescent="0.25">
      <c r="M1942" s="65" t="s">
        <v>3913</v>
      </c>
      <c r="N1942" s="65" t="s">
        <v>3914</v>
      </c>
    </row>
    <row r="1943" spans="13:14" x14ac:dyDescent="0.25">
      <c r="M1943" s="65" t="s">
        <v>3915</v>
      </c>
      <c r="N1943" s="65" t="s">
        <v>3916</v>
      </c>
    </row>
    <row r="1944" spans="13:14" x14ac:dyDescent="0.25">
      <c r="M1944" s="65" t="s">
        <v>3917</v>
      </c>
      <c r="N1944" s="65" t="s">
        <v>3918</v>
      </c>
    </row>
    <row r="1945" spans="13:14" x14ac:dyDescent="0.25">
      <c r="M1945" s="65" t="s">
        <v>3919</v>
      </c>
      <c r="N1945" s="65" t="s">
        <v>3920</v>
      </c>
    </row>
    <row r="1946" spans="13:14" x14ac:dyDescent="0.25">
      <c r="M1946" s="65" t="s">
        <v>3921</v>
      </c>
      <c r="N1946" s="65" t="s">
        <v>3922</v>
      </c>
    </row>
    <row r="1947" spans="13:14" x14ac:dyDescent="0.25">
      <c r="M1947" s="65" t="s">
        <v>3923</v>
      </c>
      <c r="N1947" s="65" t="s">
        <v>3924</v>
      </c>
    </row>
    <row r="1948" spans="13:14" x14ac:dyDescent="0.25">
      <c r="M1948" s="65" t="s">
        <v>3925</v>
      </c>
      <c r="N1948" s="65" t="s">
        <v>3926</v>
      </c>
    </row>
    <row r="1949" spans="13:14" x14ac:dyDescent="0.25">
      <c r="M1949" s="65" t="s">
        <v>3927</v>
      </c>
      <c r="N1949" s="65" t="s">
        <v>3928</v>
      </c>
    </row>
    <row r="1950" spans="13:14" x14ac:dyDescent="0.25">
      <c r="M1950" s="65" t="s">
        <v>3929</v>
      </c>
      <c r="N1950" s="65" t="s">
        <v>3930</v>
      </c>
    </row>
    <row r="1951" spans="13:14" x14ac:dyDescent="0.25">
      <c r="M1951" s="65" t="s">
        <v>3931</v>
      </c>
      <c r="N1951" s="65" t="s">
        <v>3932</v>
      </c>
    </row>
    <row r="1952" spans="13:14" x14ac:dyDescent="0.25">
      <c r="M1952" s="65" t="s">
        <v>3933</v>
      </c>
      <c r="N1952" s="65" t="s">
        <v>3934</v>
      </c>
    </row>
    <row r="1953" spans="13:14" x14ac:dyDescent="0.25">
      <c r="M1953" s="65" t="s">
        <v>3935</v>
      </c>
      <c r="N1953" s="65" t="s">
        <v>3936</v>
      </c>
    </row>
    <row r="1954" spans="13:14" x14ac:dyDescent="0.25">
      <c r="M1954" s="65" t="s">
        <v>3937</v>
      </c>
      <c r="N1954" s="65" t="s">
        <v>3938</v>
      </c>
    </row>
    <row r="1955" spans="13:14" x14ac:dyDescent="0.25">
      <c r="M1955" s="65" t="s">
        <v>3939</v>
      </c>
      <c r="N1955" s="65" t="s">
        <v>3940</v>
      </c>
    </row>
    <row r="1956" spans="13:14" x14ac:dyDescent="0.25">
      <c r="M1956" s="65" t="s">
        <v>3941</v>
      </c>
      <c r="N1956" s="65" t="s">
        <v>3942</v>
      </c>
    </row>
    <row r="1957" spans="13:14" x14ac:dyDescent="0.25">
      <c r="M1957" s="65" t="s">
        <v>3943</v>
      </c>
      <c r="N1957" s="65" t="s">
        <v>3944</v>
      </c>
    </row>
    <row r="1958" spans="13:14" x14ac:dyDescent="0.25">
      <c r="M1958" s="65" t="s">
        <v>3945</v>
      </c>
      <c r="N1958" s="65" t="s">
        <v>3946</v>
      </c>
    </row>
    <row r="1959" spans="13:14" x14ac:dyDescent="0.25">
      <c r="M1959" s="65" t="s">
        <v>3947</v>
      </c>
      <c r="N1959" s="65" t="s">
        <v>3948</v>
      </c>
    </row>
    <row r="1960" spans="13:14" x14ac:dyDescent="0.25">
      <c r="M1960" s="65" t="s">
        <v>3949</v>
      </c>
      <c r="N1960" s="65" t="s">
        <v>3950</v>
      </c>
    </row>
    <row r="1961" spans="13:14" x14ac:dyDescent="0.25">
      <c r="M1961" s="65" t="s">
        <v>3951</v>
      </c>
      <c r="N1961" s="65" t="s">
        <v>3952</v>
      </c>
    </row>
    <row r="1962" spans="13:14" x14ac:dyDescent="0.25">
      <c r="M1962" s="65" t="s">
        <v>3953</v>
      </c>
      <c r="N1962" s="65" t="s">
        <v>3954</v>
      </c>
    </row>
    <row r="1963" spans="13:14" x14ac:dyDescent="0.25">
      <c r="M1963" s="65" t="s">
        <v>3955</v>
      </c>
      <c r="N1963" s="65" t="s">
        <v>3956</v>
      </c>
    </row>
    <row r="1964" spans="13:14" x14ac:dyDescent="0.25">
      <c r="M1964" s="65" t="s">
        <v>3957</v>
      </c>
      <c r="N1964" s="65" t="s">
        <v>3958</v>
      </c>
    </row>
    <row r="1965" spans="13:14" x14ac:dyDescent="0.25">
      <c r="M1965" s="65" t="s">
        <v>3959</v>
      </c>
      <c r="N1965" s="65" t="s">
        <v>3960</v>
      </c>
    </row>
    <row r="1966" spans="13:14" x14ac:dyDescent="0.25">
      <c r="M1966" s="65" t="s">
        <v>3961</v>
      </c>
      <c r="N1966" s="65" t="s">
        <v>3962</v>
      </c>
    </row>
    <row r="1967" spans="13:14" x14ac:dyDescent="0.25">
      <c r="M1967" s="65" t="s">
        <v>3963</v>
      </c>
      <c r="N1967" s="65" t="s">
        <v>3964</v>
      </c>
    </row>
    <row r="1968" spans="13:14" x14ac:dyDescent="0.25">
      <c r="M1968" s="65" t="s">
        <v>3965</v>
      </c>
      <c r="N1968" s="65" t="s">
        <v>3966</v>
      </c>
    </row>
    <row r="1969" spans="13:14" x14ac:dyDescent="0.25">
      <c r="M1969" s="65" t="s">
        <v>3967</v>
      </c>
      <c r="N1969" s="65" t="s">
        <v>3968</v>
      </c>
    </row>
    <row r="1970" spans="13:14" x14ac:dyDescent="0.25">
      <c r="M1970" s="65" t="s">
        <v>3969</v>
      </c>
      <c r="N1970" s="65" t="s">
        <v>3970</v>
      </c>
    </row>
    <row r="1971" spans="13:14" x14ac:dyDescent="0.25">
      <c r="M1971" s="65" t="s">
        <v>3971</v>
      </c>
      <c r="N1971" s="65" t="s">
        <v>3972</v>
      </c>
    </row>
    <row r="1972" spans="13:14" x14ac:dyDescent="0.25">
      <c r="M1972" s="65" t="s">
        <v>3973</v>
      </c>
      <c r="N1972" s="65" t="s">
        <v>3974</v>
      </c>
    </row>
    <row r="1973" spans="13:14" x14ac:dyDescent="0.25">
      <c r="M1973" s="65" t="s">
        <v>3975</v>
      </c>
      <c r="N1973" s="65" t="s">
        <v>3976</v>
      </c>
    </row>
    <row r="1974" spans="13:14" x14ac:dyDescent="0.25">
      <c r="M1974" s="65" t="s">
        <v>3977</v>
      </c>
      <c r="N1974" s="65" t="s">
        <v>3978</v>
      </c>
    </row>
    <row r="1975" spans="13:14" x14ac:dyDescent="0.25">
      <c r="M1975" s="65" t="s">
        <v>3979</v>
      </c>
      <c r="N1975" s="65" t="s">
        <v>3980</v>
      </c>
    </row>
    <row r="1976" spans="13:14" x14ac:dyDescent="0.25">
      <c r="M1976" s="65" t="s">
        <v>3981</v>
      </c>
      <c r="N1976" s="65" t="s">
        <v>3982</v>
      </c>
    </row>
    <row r="1977" spans="13:14" x14ac:dyDescent="0.25">
      <c r="M1977" s="65" t="s">
        <v>3983</v>
      </c>
      <c r="N1977" s="65" t="s">
        <v>3984</v>
      </c>
    </row>
    <row r="1978" spans="13:14" x14ac:dyDescent="0.25">
      <c r="M1978" s="65" t="s">
        <v>3985</v>
      </c>
      <c r="N1978" s="65" t="s">
        <v>3986</v>
      </c>
    </row>
    <row r="1979" spans="13:14" x14ac:dyDescent="0.25">
      <c r="M1979" s="65" t="s">
        <v>3987</v>
      </c>
      <c r="N1979" s="65" t="s">
        <v>3988</v>
      </c>
    </row>
    <row r="1980" spans="13:14" x14ac:dyDescent="0.25">
      <c r="M1980" s="65" t="s">
        <v>3989</v>
      </c>
      <c r="N1980" s="65" t="s">
        <v>3990</v>
      </c>
    </row>
    <row r="1981" spans="13:14" x14ac:dyDescent="0.25">
      <c r="M1981" s="65" t="s">
        <v>3991</v>
      </c>
      <c r="N1981" s="65" t="s">
        <v>3992</v>
      </c>
    </row>
    <row r="1982" spans="13:14" x14ac:dyDescent="0.25">
      <c r="M1982" s="65" t="s">
        <v>3993</v>
      </c>
      <c r="N1982" s="65" t="s">
        <v>3994</v>
      </c>
    </row>
    <row r="1983" spans="13:14" x14ac:dyDescent="0.25">
      <c r="M1983" s="65" t="s">
        <v>3995</v>
      </c>
      <c r="N1983" s="65" t="s">
        <v>3996</v>
      </c>
    </row>
    <row r="1984" spans="13:14" x14ac:dyDescent="0.25">
      <c r="M1984" s="65" t="s">
        <v>3997</v>
      </c>
      <c r="N1984" s="65" t="s">
        <v>3998</v>
      </c>
    </row>
    <row r="1985" spans="13:14" x14ac:dyDescent="0.25">
      <c r="M1985" s="65" t="s">
        <v>3999</v>
      </c>
      <c r="N1985" s="65" t="s">
        <v>4000</v>
      </c>
    </row>
    <row r="1986" spans="13:14" x14ac:dyDescent="0.25">
      <c r="M1986" s="65" t="s">
        <v>4001</v>
      </c>
      <c r="N1986" s="65" t="s">
        <v>4002</v>
      </c>
    </row>
    <row r="1987" spans="13:14" x14ac:dyDescent="0.25">
      <c r="M1987" s="65" t="s">
        <v>4003</v>
      </c>
      <c r="N1987" s="65" t="s">
        <v>4004</v>
      </c>
    </row>
    <row r="1988" spans="13:14" x14ac:dyDescent="0.25">
      <c r="M1988" s="65" t="s">
        <v>4005</v>
      </c>
      <c r="N1988" s="65" t="s">
        <v>4006</v>
      </c>
    </row>
    <row r="1989" spans="13:14" x14ac:dyDescent="0.25">
      <c r="M1989" s="65" t="s">
        <v>4007</v>
      </c>
      <c r="N1989" s="65" t="s">
        <v>4008</v>
      </c>
    </row>
    <row r="1990" spans="13:14" x14ac:dyDescent="0.25">
      <c r="M1990" s="65" t="s">
        <v>4009</v>
      </c>
      <c r="N1990" s="65" t="s">
        <v>4010</v>
      </c>
    </row>
    <row r="1991" spans="13:14" x14ac:dyDescent="0.25">
      <c r="M1991" s="65" t="s">
        <v>4011</v>
      </c>
      <c r="N1991" s="65" t="s">
        <v>4012</v>
      </c>
    </row>
    <row r="1992" spans="13:14" x14ac:dyDescent="0.25">
      <c r="M1992" s="65" t="s">
        <v>4013</v>
      </c>
      <c r="N1992" s="65" t="s">
        <v>4014</v>
      </c>
    </row>
    <row r="1993" spans="13:14" x14ac:dyDescent="0.25">
      <c r="M1993" s="65" t="s">
        <v>4015</v>
      </c>
      <c r="N1993" s="65" t="s">
        <v>4016</v>
      </c>
    </row>
    <row r="1994" spans="13:14" x14ac:dyDescent="0.25">
      <c r="M1994" s="65" t="s">
        <v>4017</v>
      </c>
      <c r="N1994" s="65" t="s">
        <v>4018</v>
      </c>
    </row>
    <row r="1995" spans="13:14" x14ac:dyDescent="0.25">
      <c r="M1995" s="65" t="s">
        <v>4019</v>
      </c>
      <c r="N1995" s="65" t="s">
        <v>4020</v>
      </c>
    </row>
    <row r="1996" spans="13:14" x14ac:dyDescent="0.25">
      <c r="M1996" s="65" t="s">
        <v>4021</v>
      </c>
      <c r="N1996" s="65" t="s">
        <v>4022</v>
      </c>
    </row>
    <row r="1997" spans="13:14" x14ac:dyDescent="0.25">
      <c r="M1997" s="65" t="s">
        <v>4023</v>
      </c>
      <c r="N1997" s="65" t="s">
        <v>4024</v>
      </c>
    </row>
    <row r="1998" spans="13:14" x14ac:dyDescent="0.25">
      <c r="M1998" s="65" t="s">
        <v>4025</v>
      </c>
      <c r="N1998" s="65" t="s">
        <v>4026</v>
      </c>
    </row>
    <row r="1999" spans="13:14" x14ac:dyDescent="0.25">
      <c r="M1999" s="65" t="s">
        <v>4027</v>
      </c>
      <c r="N1999" s="65" t="s">
        <v>4028</v>
      </c>
    </row>
    <row r="2000" spans="13:14" x14ac:dyDescent="0.25">
      <c r="M2000" s="65" t="s">
        <v>4029</v>
      </c>
      <c r="N2000" s="65" t="s">
        <v>4030</v>
      </c>
    </row>
    <row r="2001" spans="13:14" x14ac:dyDescent="0.25">
      <c r="M2001" s="65" t="s">
        <v>4031</v>
      </c>
      <c r="N2001" s="65" t="s">
        <v>4032</v>
      </c>
    </row>
    <row r="2002" spans="13:14" x14ac:dyDescent="0.25">
      <c r="M2002" s="65" t="s">
        <v>4033</v>
      </c>
      <c r="N2002" s="65" t="s">
        <v>4034</v>
      </c>
    </row>
    <row r="2003" spans="13:14" x14ac:dyDescent="0.25">
      <c r="M2003" s="65" t="s">
        <v>4035</v>
      </c>
      <c r="N2003" s="65" t="s">
        <v>4036</v>
      </c>
    </row>
    <row r="2004" spans="13:14" x14ac:dyDescent="0.25">
      <c r="M2004" s="65" t="s">
        <v>4037</v>
      </c>
      <c r="N2004" s="65" t="s">
        <v>4038</v>
      </c>
    </row>
    <row r="2005" spans="13:14" x14ac:dyDescent="0.25">
      <c r="M2005" s="65" t="s">
        <v>4039</v>
      </c>
      <c r="N2005" s="65" t="s">
        <v>4040</v>
      </c>
    </row>
    <row r="2006" spans="13:14" x14ac:dyDescent="0.25">
      <c r="M2006" s="65" t="s">
        <v>4041</v>
      </c>
      <c r="N2006" s="65" t="s">
        <v>4042</v>
      </c>
    </row>
    <row r="2007" spans="13:14" x14ac:dyDescent="0.25">
      <c r="M2007" s="65" t="s">
        <v>4043</v>
      </c>
      <c r="N2007" s="65" t="s">
        <v>4044</v>
      </c>
    </row>
    <row r="2008" spans="13:14" x14ac:dyDescent="0.25">
      <c r="M2008" s="65" t="s">
        <v>4045</v>
      </c>
      <c r="N2008" s="65" t="s">
        <v>4046</v>
      </c>
    </row>
    <row r="2009" spans="13:14" x14ac:dyDescent="0.25">
      <c r="M2009" s="65" t="s">
        <v>4047</v>
      </c>
      <c r="N2009" s="65" t="s">
        <v>4048</v>
      </c>
    </row>
    <row r="2010" spans="13:14" x14ac:dyDescent="0.25">
      <c r="M2010" s="65" t="s">
        <v>4049</v>
      </c>
      <c r="N2010" s="65" t="s">
        <v>4050</v>
      </c>
    </row>
    <row r="2011" spans="13:14" x14ac:dyDescent="0.25">
      <c r="M2011" s="65" t="s">
        <v>4051</v>
      </c>
      <c r="N2011" s="65" t="s">
        <v>4052</v>
      </c>
    </row>
    <row r="2012" spans="13:14" x14ac:dyDescent="0.25">
      <c r="M2012" s="65" t="s">
        <v>4053</v>
      </c>
      <c r="N2012" s="65" t="s">
        <v>4054</v>
      </c>
    </row>
    <row r="2013" spans="13:14" x14ac:dyDescent="0.25">
      <c r="M2013" s="65" t="s">
        <v>4055</v>
      </c>
      <c r="N2013" s="65" t="s">
        <v>4056</v>
      </c>
    </row>
    <row r="2014" spans="13:14" x14ac:dyDescent="0.25">
      <c r="M2014" s="65" t="s">
        <v>4057</v>
      </c>
      <c r="N2014" s="65" t="s">
        <v>4058</v>
      </c>
    </row>
    <row r="2015" spans="13:14" x14ac:dyDescent="0.25">
      <c r="M2015" s="65" t="s">
        <v>4059</v>
      </c>
      <c r="N2015" s="65" t="s">
        <v>4060</v>
      </c>
    </row>
    <row r="2016" spans="13:14" x14ac:dyDescent="0.25">
      <c r="M2016" s="65" t="s">
        <v>4061</v>
      </c>
      <c r="N2016" s="65" t="s">
        <v>4062</v>
      </c>
    </row>
    <row r="2017" spans="13:14" x14ac:dyDescent="0.25">
      <c r="M2017" s="65" t="s">
        <v>4063</v>
      </c>
      <c r="N2017" s="65" t="s">
        <v>4064</v>
      </c>
    </row>
    <row r="2018" spans="13:14" x14ac:dyDescent="0.25">
      <c r="M2018" s="65" t="s">
        <v>4065</v>
      </c>
      <c r="N2018" s="65" t="s">
        <v>4066</v>
      </c>
    </row>
    <row r="2019" spans="13:14" x14ac:dyDescent="0.25">
      <c r="M2019" s="65" t="s">
        <v>4067</v>
      </c>
      <c r="N2019" s="65" t="s">
        <v>4068</v>
      </c>
    </row>
    <row r="2020" spans="13:14" x14ac:dyDescent="0.25">
      <c r="M2020" s="65" t="s">
        <v>4069</v>
      </c>
      <c r="N2020" s="65" t="s">
        <v>4070</v>
      </c>
    </row>
    <row r="2021" spans="13:14" x14ac:dyDescent="0.25">
      <c r="M2021" s="65" t="s">
        <v>4071</v>
      </c>
      <c r="N2021" s="65" t="s">
        <v>4072</v>
      </c>
    </row>
    <row r="2022" spans="13:14" x14ac:dyDescent="0.25">
      <c r="M2022" s="65" t="s">
        <v>4073</v>
      </c>
      <c r="N2022" s="65" t="s">
        <v>4074</v>
      </c>
    </row>
    <row r="2023" spans="13:14" x14ac:dyDescent="0.25">
      <c r="M2023" s="65" t="s">
        <v>4075</v>
      </c>
      <c r="N2023" s="65" t="s">
        <v>4076</v>
      </c>
    </row>
    <row r="2024" spans="13:14" x14ac:dyDescent="0.25">
      <c r="M2024" s="65" t="s">
        <v>4077</v>
      </c>
      <c r="N2024" s="65" t="s">
        <v>4078</v>
      </c>
    </row>
    <row r="2025" spans="13:14" x14ac:dyDescent="0.25">
      <c r="M2025" s="65" t="s">
        <v>4079</v>
      </c>
      <c r="N2025" s="65" t="s">
        <v>4080</v>
      </c>
    </row>
    <row r="2026" spans="13:14" x14ac:dyDescent="0.25">
      <c r="M2026" s="65" t="s">
        <v>4081</v>
      </c>
      <c r="N2026" s="65" t="s">
        <v>4082</v>
      </c>
    </row>
    <row r="2027" spans="13:14" x14ac:dyDescent="0.25">
      <c r="M2027" s="65" t="s">
        <v>4083</v>
      </c>
      <c r="N2027" s="65" t="s">
        <v>4084</v>
      </c>
    </row>
    <row r="2028" spans="13:14" x14ac:dyDescent="0.25">
      <c r="M2028" s="65" t="s">
        <v>4085</v>
      </c>
      <c r="N2028" s="65" t="s">
        <v>4086</v>
      </c>
    </row>
    <row r="2029" spans="13:14" x14ac:dyDescent="0.25">
      <c r="M2029" s="65" t="s">
        <v>4087</v>
      </c>
      <c r="N2029" s="65" t="s">
        <v>4088</v>
      </c>
    </row>
    <row r="2030" spans="13:14" x14ac:dyDescent="0.25">
      <c r="M2030" s="65" t="s">
        <v>4089</v>
      </c>
      <c r="N2030" s="65" t="s">
        <v>4090</v>
      </c>
    </row>
    <row r="2031" spans="13:14" x14ac:dyDescent="0.25">
      <c r="M2031" s="65" t="s">
        <v>4091</v>
      </c>
      <c r="N2031" s="65" t="s">
        <v>4092</v>
      </c>
    </row>
    <row r="2032" spans="13:14" x14ac:dyDescent="0.25">
      <c r="M2032" s="65" t="s">
        <v>4093</v>
      </c>
      <c r="N2032" s="65" t="s">
        <v>4094</v>
      </c>
    </row>
    <row r="2033" spans="13:14" x14ac:dyDescent="0.25">
      <c r="M2033" s="65" t="s">
        <v>4095</v>
      </c>
      <c r="N2033" s="65" t="s">
        <v>4096</v>
      </c>
    </row>
    <row r="2034" spans="13:14" x14ac:dyDescent="0.25">
      <c r="M2034" s="65" t="s">
        <v>4097</v>
      </c>
      <c r="N2034" s="65" t="s">
        <v>4098</v>
      </c>
    </row>
    <row r="2035" spans="13:14" x14ac:dyDescent="0.25">
      <c r="M2035" s="65" t="s">
        <v>4099</v>
      </c>
      <c r="N2035" s="65" t="s">
        <v>4100</v>
      </c>
    </row>
    <row r="2036" spans="13:14" x14ac:dyDescent="0.25">
      <c r="M2036" s="65" t="s">
        <v>4101</v>
      </c>
      <c r="N2036" s="65" t="s">
        <v>4102</v>
      </c>
    </row>
    <row r="2037" spans="13:14" x14ac:dyDescent="0.25">
      <c r="M2037" s="65" t="s">
        <v>4103</v>
      </c>
      <c r="N2037" s="65" t="s">
        <v>4104</v>
      </c>
    </row>
    <row r="2038" spans="13:14" x14ac:dyDescent="0.25">
      <c r="M2038" s="65" t="s">
        <v>4105</v>
      </c>
      <c r="N2038" s="65" t="s">
        <v>4106</v>
      </c>
    </row>
    <row r="2039" spans="13:14" x14ac:dyDescent="0.25">
      <c r="M2039" s="65" t="s">
        <v>4107</v>
      </c>
      <c r="N2039" s="65" t="s">
        <v>4108</v>
      </c>
    </row>
    <row r="2040" spans="13:14" x14ac:dyDescent="0.25">
      <c r="M2040" s="65" t="s">
        <v>4109</v>
      </c>
      <c r="N2040" s="65" t="s">
        <v>4110</v>
      </c>
    </row>
    <row r="2041" spans="13:14" x14ac:dyDescent="0.25">
      <c r="M2041" s="65" t="s">
        <v>4111</v>
      </c>
      <c r="N2041" s="65" t="s">
        <v>4112</v>
      </c>
    </row>
    <row r="2042" spans="13:14" x14ac:dyDescent="0.25">
      <c r="M2042" s="65" t="s">
        <v>4113</v>
      </c>
      <c r="N2042" s="65" t="s">
        <v>4114</v>
      </c>
    </row>
    <row r="2043" spans="13:14" x14ac:dyDescent="0.25">
      <c r="M2043" s="65" t="s">
        <v>4115</v>
      </c>
      <c r="N2043" s="65" t="s">
        <v>4116</v>
      </c>
    </row>
    <row r="2044" spans="13:14" x14ac:dyDescent="0.25">
      <c r="M2044" s="65" t="s">
        <v>4117</v>
      </c>
      <c r="N2044" s="65" t="s">
        <v>4118</v>
      </c>
    </row>
    <row r="2045" spans="13:14" x14ac:dyDescent="0.25">
      <c r="M2045" s="65" t="s">
        <v>4119</v>
      </c>
      <c r="N2045" s="65" t="s">
        <v>4120</v>
      </c>
    </row>
    <row r="2046" spans="13:14" x14ac:dyDescent="0.25">
      <c r="M2046" s="65" t="s">
        <v>4121</v>
      </c>
      <c r="N2046" s="65" t="s">
        <v>4122</v>
      </c>
    </row>
    <row r="2047" spans="13:14" x14ac:dyDescent="0.25">
      <c r="M2047" s="65" t="s">
        <v>4123</v>
      </c>
      <c r="N2047" s="65" t="s">
        <v>4124</v>
      </c>
    </row>
    <row r="2048" spans="13:14" x14ac:dyDescent="0.25">
      <c r="M2048" s="65" t="s">
        <v>4125</v>
      </c>
      <c r="N2048" s="65" t="s">
        <v>4126</v>
      </c>
    </row>
    <row r="2049" spans="13:14" x14ac:dyDescent="0.25">
      <c r="M2049" s="65" t="s">
        <v>4127</v>
      </c>
      <c r="N2049" s="65" t="s">
        <v>4128</v>
      </c>
    </row>
    <row r="2050" spans="13:14" x14ac:dyDescent="0.25">
      <c r="M2050" s="65" t="s">
        <v>4129</v>
      </c>
      <c r="N2050" s="65" t="s">
        <v>4130</v>
      </c>
    </row>
    <row r="2051" spans="13:14" x14ac:dyDescent="0.25">
      <c r="M2051" s="65" t="s">
        <v>4131</v>
      </c>
      <c r="N2051" s="65" t="s">
        <v>4132</v>
      </c>
    </row>
    <row r="2052" spans="13:14" x14ac:dyDescent="0.25">
      <c r="M2052" s="65" t="s">
        <v>4133</v>
      </c>
      <c r="N2052" s="65" t="s">
        <v>4134</v>
      </c>
    </row>
    <row r="2053" spans="13:14" x14ac:dyDescent="0.25">
      <c r="M2053" s="65" t="s">
        <v>4135</v>
      </c>
      <c r="N2053" s="65" t="s">
        <v>4136</v>
      </c>
    </row>
    <row r="2054" spans="13:14" x14ac:dyDescent="0.25">
      <c r="M2054" s="65" t="s">
        <v>4137</v>
      </c>
      <c r="N2054" s="65" t="s">
        <v>4138</v>
      </c>
    </row>
    <row r="2055" spans="13:14" x14ac:dyDescent="0.25">
      <c r="M2055" s="65" t="s">
        <v>4139</v>
      </c>
      <c r="N2055" s="65" t="s">
        <v>4140</v>
      </c>
    </row>
    <row r="2056" spans="13:14" x14ac:dyDescent="0.25">
      <c r="M2056" s="65" t="s">
        <v>4141</v>
      </c>
      <c r="N2056" s="65" t="s">
        <v>4142</v>
      </c>
    </row>
    <row r="2057" spans="13:14" x14ac:dyDescent="0.25">
      <c r="M2057" s="65" t="s">
        <v>4143</v>
      </c>
      <c r="N2057" s="65" t="s">
        <v>4144</v>
      </c>
    </row>
    <row r="2058" spans="13:14" x14ac:dyDescent="0.25">
      <c r="M2058" s="65" t="s">
        <v>4145</v>
      </c>
      <c r="N2058" s="65" t="s">
        <v>4146</v>
      </c>
    </row>
    <row r="2059" spans="13:14" x14ac:dyDescent="0.25">
      <c r="M2059" s="65" t="s">
        <v>4147</v>
      </c>
      <c r="N2059" s="65" t="s">
        <v>4148</v>
      </c>
    </row>
    <row r="2060" spans="13:14" x14ac:dyDescent="0.25">
      <c r="M2060" s="65" t="s">
        <v>4149</v>
      </c>
      <c r="N2060" s="65" t="s">
        <v>4150</v>
      </c>
    </row>
    <row r="2061" spans="13:14" x14ac:dyDescent="0.25">
      <c r="M2061" s="65" t="s">
        <v>4151</v>
      </c>
      <c r="N2061" s="65" t="s">
        <v>4152</v>
      </c>
    </row>
    <row r="2062" spans="13:14" x14ac:dyDescent="0.25">
      <c r="M2062" s="65" t="s">
        <v>4153</v>
      </c>
      <c r="N2062" s="65" t="s">
        <v>4154</v>
      </c>
    </row>
    <row r="2063" spans="13:14" x14ac:dyDescent="0.25">
      <c r="M2063" s="65" t="s">
        <v>4155</v>
      </c>
      <c r="N2063" s="65" t="s">
        <v>4156</v>
      </c>
    </row>
    <row r="2064" spans="13:14" x14ac:dyDescent="0.25">
      <c r="M2064" s="65" t="s">
        <v>4157</v>
      </c>
      <c r="N2064" s="65" t="s">
        <v>4158</v>
      </c>
    </row>
    <row r="2065" spans="13:14" x14ac:dyDescent="0.25">
      <c r="M2065" s="65" t="s">
        <v>4159</v>
      </c>
      <c r="N2065" s="65" t="s">
        <v>4160</v>
      </c>
    </row>
    <row r="2066" spans="13:14" x14ac:dyDescent="0.25">
      <c r="M2066" s="65" t="s">
        <v>4161</v>
      </c>
      <c r="N2066" s="65" t="s">
        <v>4162</v>
      </c>
    </row>
    <row r="2067" spans="13:14" x14ac:dyDescent="0.25">
      <c r="M2067" s="65" t="s">
        <v>4163</v>
      </c>
      <c r="N2067" s="65" t="s">
        <v>4164</v>
      </c>
    </row>
    <row r="2068" spans="13:14" x14ac:dyDescent="0.25">
      <c r="M2068" s="65" t="s">
        <v>4165</v>
      </c>
      <c r="N2068" s="65" t="s">
        <v>4166</v>
      </c>
    </row>
    <row r="2069" spans="13:14" x14ac:dyDescent="0.25">
      <c r="M2069" s="65" t="s">
        <v>4167</v>
      </c>
      <c r="N2069" s="65" t="s">
        <v>4168</v>
      </c>
    </row>
    <row r="2070" spans="13:14" x14ac:dyDescent="0.25">
      <c r="M2070" s="65" t="s">
        <v>4169</v>
      </c>
      <c r="N2070" s="65" t="s">
        <v>4170</v>
      </c>
    </row>
    <row r="2071" spans="13:14" x14ac:dyDescent="0.25">
      <c r="M2071" s="65" t="s">
        <v>4171</v>
      </c>
      <c r="N2071" s="65" t="s">
        <v>4172</v>
      </c>
    </row>
    <row r="2072" spans="13:14" x14ac:dyDescent="0.25">
      <c r="M2072" s="65" t="s">
        <v>4173</v>
      </c>
      <c r="N2072" s="65" t="s">
        <v>4174</v>
      </c>
    </row>
    <row r="2073" spans="13:14" x14ac:dyDescent="0.25">
      <c r="M2073" s="65" t="s">
        <v>4175</v>
      </c>
      <c r="N2073" s="65" t="s">
        <v>4176</v>
      </c>
    </row>
    <row r="2074" spans="13:14" x14ac:dyDescent="0.25">
      <c r="M2074" s="65" t="s">
        <v>4177</v>
      </c>
      <c r="N2074" s="65" t="s">
        <v>4178</v>
      </c>
    </row>
    <row r="2075" spans="13:14" x14ac:dyDescent="0.25">
      <c r="M2075" s="65" t="s">
        <v>4179</v>
      </c>
      <c r="N2075" s="65" t="s">
        <v>4180</v>
      </c>
    </row>
    <row r="2076" spans="13:14" x14ac:dyDescent="0.25">
      <c r="M2076" s="65" t="s">
        <v>4181</v>
      </c>
      <c r="N2076" s="65" t="s">
        <v>4182</v>
      </c>
    </row>
    <row r="2077" spans="13:14" x14ac:dyDescent="0.25">
      <c r="M2077" s="65" t="s">
        <v>4183</v>
      </c>
      <c r="N2077" s="65" t="s">
        <v>4184</v>
      </c>
    </row>
    <row r="2078" spans="13:14" x14ac:dyDescent="0.25">
      <c r="M2078" s="65" t="s">
        <v>4185</v>
      </c>
      <c r="N2078" s="65" t="s">
        <v>4186</v>
      </c>
    </row>
    <row r="2079" spans="13:14" x14ac:dyDescent="0.25">
      <c r="M2079" s="65" t="s">
        <v>4187</v>
      </c>
      <c r="N2079" s="65" t="s">
        <v>4188</v>
      </c>
    </row>
    <row r="2080" spans="13:14" x14ac:dyDescent="0.25">
      <c r="M2080" s="65" t="s">
        <v>4189</v>
      </c>
      <c r="N2080" s="65" t="s">
        <v>4190</v>
      </c>
    </row>
    <row r="2081" spans="13:14" x14ac:dyDescent="0.25">
      <c r="M2081" s="65" t="s">
        <v>4191</v>
      </c>
      <c r="N2081" s="65" t="s">
        <v>4192</v>
      </c>
    </row>
    <row r="2082" spans="13:14" x14ac:dyDescent="0.25">
      <c r="M2082" s="65" t="s">
        <v>4193</v>
      </c>
      <c r="N2082" s="65" t="s">
        <v>4194</v>
      </c>
    </row>
    <row r="2083" spans="13:14" x14ac:dyDescent="0.25">
      <c r="M2083" s="65" t="s">
        <v>4195</v>
      </c>
      <c r="N2083" s="65" t="s">
        <v>4196</v>
      </c>
    </row>
    <row r="2084" spans="13:14" x14ac:dyDescent="0.25">
      <c r="M2084" s="65" t="s">
        <v>4197</v>
      </c>
      <c r="N2084" s="65" t="s">
        <v>4198</v>
      </c>
    </row>
    <row r="2085" spans="13:14" x14ac:dyDescent="0.25">
      <c r="M2085" s="65" t="s">
        <v>4199</v>
      </c>
      <c r="N2085" s="65" t="s">
        <v>4200</v>
      </c>
    </row>
    <row r="2086" spans="13:14" x14ac:dyDescent="0.25">
      <c r="M2086" s="65" t="s">
        <v>4201</v>
      </c>
      <c r="N2086" s="65" t="s">
        <v>4202</v>
      </c>
    </row>
    <row r="2087" spans="13:14" x14ac:dyDescent="0.25">
      <c r="M2087" s="65" t="s">
        <v>4203</v>
      </c>
      <c r="N2087" s="65" t="s">
        <v>4204</v>
      </c>
    </row>
    <row r="2088" spans="13:14" x14ac:dyDescent="0.25">
      <c r="M2088" s="65" t="s">
        <v>4205</v>
      </c>
      <c r="N2088" s="65" t="s">
        <v>4206</v>
      </c>
    </row>
    <row r="2089" spans="13:14" x14ac:dyDescent="0.25">
      <c r="M2089" s="65" t="s">
        <v>4207</v>
      </c>
      <c r="N2089" s="65" t="s">
        <v>4208</v>
      </c>
    </row>
    <row r="2090" spans="13:14" x14ac:dyDescent="0.25">
      <c r="M2090" s="65" t="s">
        <v>4209</v>
      </c>
      <c r="N2090" s="65" t="s">
        <v>4210</v>
      </c>
    </row>
    <row r="2091" spans="13:14" x14ac:dyDescent="0.25">
      <c r="M2091" s="65" t="s">
        <v>4211</v>
      </c>
      <c r="N2091" s="65" t="s">
        <v>4212</v>
      </c>
    </row>
    <row r="2092" spans="13:14" x14ac:dyDescent="0.25">
      <c r="M2092" s="65" t="s">
        <v>4213</v>
      </c>
      <c r="N2092" s="65" t="s">
        <v>4214</v>
      </c>
    </row>
    <row r="2093" spans="13:14" x14ac:dyDescent="0.25">
      <c r="M2093" s="65" t="s">
        <v>4215</v>
      </c>
      <c r="N2093" s="65" t="s">
        <v>4216</v>
      </c>
    </row>
    <row r="2094" spans="13:14" x14ac:dyDescent="0.25">
      <c r="M2094" s="65" t="s">
        <v>4217</v>
      </c>
      <c r="N2094" s="65" t="s">
        <v>4218</v>
      </c>
    </row>
    <row r="2095" spans="13:14" x14ac:dyDescent="0.25">
      <c r="M2095" s="65" t="s">
        <v>4219</v>
      </c>
      <c r="N2095" s="65" t="s">
        <v>4220</v>
      </c>
    </row>
    <row r="2096" spans="13:14" x14ac:dyDescent="0.25">
      <c r="M2096" s="65" t="s">
        <v>4221</v>
      </c>
      <c r="N2096" s="65" t="s">
        <v>4222</v>
      </c>
    </row>
    <row r="2097" spans="13:14" x14ac:dyDescent="0.25">
      <c r="M2097" s="65" t="s">
        <v>4223</v>
      </c>
      <c r="N2097" s="65" t="s">
        <v>4224</v>
      </c>
    </row>
    <row r="2098" spans="13:14" x14ac:dyDescent="0.25">
      <c r="M2098" s="65" t="s">
        <v>4225</v>
      </c>
      <c r="N2098" s="65" t="s">
        <v>4226</v>
      </c>
    </row>
    <row r="2099" spans="13:14" x14ac:dyDescent="0.25">
      <c r="M2099" s="65" t="s">
        <v>4227</v>
      </c>
      <c r="N2099" s="65" t="s">
        <v>4228</v>
      </c>
    </row>
    <row r="2100" spans="13:14" x14ac:dyDescent="0.25">
      <c r="M2100" s="65" t="s">
        <v>4229</v>
      </c>
      <c r="N2100" s="65" t="s">
        <v>4230</v>
      </c>
    </row>
    <row r="2101" spans="13:14" x14ac:dyDescent="0.25">
      <c r="M2101" s="65" t="s">
        <v>4231</v>
      </c>
      <c r="N2101" s="65" t="s">
        <v>4232</v>
      </c>
    </row>
    <row r="2102" spans="13:14" x14ac:dyDescent="0.25">
      <c r="M2102" s="65" t="s">
        <v>4233</v>
      </c>
      <c r="N2102" s="65" t="s">
        <v>4234</v>
      </c>
    </row>
    <row r="2103" spans="13:14" x14ac:dyDescent="0.25">
      <c r="M2103" s="65" t="s">
        <v>4235</v>
      </c>
      <c r="N2103" s="65" t="s">
        <v>4236</v>
      </c>
    </row>
    <row r="2104" spans="13:14" x14ac:dyDescent="0.25">
      <c r="M2104" s="65" t="s">
        <v>4237</v>
      </c>
      <c r="N2104" s="65" t="s">
        <v>4238</v>
      </c>
    </row>
    <row r="2105" spans="13:14" x14ac:dyDescent="0.25">
      <c r="M2105" s="65" t="s">
        <v>4239</v>
      </c>
      <c r="N2105" s="65" t="s">
        <v>4240</v>
      </c>
    </row>
    <row r="2106" spans="13:14" x14ac:dyDescent="0.25">
      <c r="M2106" s="65" t="s">
        <v>4241</v>
      </c>
      <c r="N2106" s="65" t="s">
        <v>4242</v>
      </c>
    </row>
    <row r="2107" spans="13:14" x14ac:dyDescent="0.25">
      <c r="M2107" s="65" t="s">
        <v>4243</v>
      </c>
      <c r="N2107" s="65" t="s">
        <v>4244</v>
      </c>
    </row>
    <row r="2108" spans="13:14" x14ac:dyDescent="0.25">
      <c r="M2108" s="65" t="s">
        <v>4245</v>
      </c>
      <c r="N2108" s="65" t="s">
        <v>4246</v>
      </c>
    </row>
    <row r="2109" spans="13:14" x14ac:dyDescent="0.25">
      <c r="M2109" s="65" t="s">
        <v>4247</v>
      </c>
      <c r="N2109" s="65" t="s">
        <v>4248</v>
      </c>
    </row>
    <row r="2110" spans="13:14" x14ac:dyDescent="0.25">
      <c r="M2110" s="65" t="s">
        <v>4249</v>
      </c>
      <c r="N2110" s="65" t="s">
        <v>4250</v>
      </c>
    </row>
    <row r="2111" spans="13:14" x14ac:dyDescent="0.25">
      <c r="M2111" s="65" t="s">
        <v>4251</v>
      </c>
      <c r="N2111" s="65" t="s">
        <v>4252</v>
      </c>
    </row>
    <row r="2112" spans="13:14" x14ac:dyDescent="0.25">
      <c r="M2112" s="65" t="s">
        <v>4253</v>
      </c>
      <c r="N2112" s="65" t="s">
        <v>4254</v>
      </c>
    </row>
    <row r="2113" spans="13:14" x14ac:dyDescent="0.25">
      <c r="M2113" s="65" t="s">
        <v>4255</v>
      </c>
      <c r="N2113" s="65" t="s">
        <v>4256</v>
      </c>
    </row>
    <row r="2114" spans="13:14" x14ac:dyDescent="0.25">
      <c r="M2114" s="65" t="s">
        <v>4257</v>
      </c>
      <c r="N2114" s="65" t="s">
        <v>4258</v>
      </c>
    </row>
    <row r="2115" spans="13:14" x14ac:dyDescent="0.25">
      <c r="M2115" s="65" t="s">
        <v>4259</v>
      </c>
      <c r="N2115" s="65" t="s">
        <v>4260</v>
      </c>
    </row>
    <row r="2116" spans="13:14" x14ac:dyDescent="0.25">
      <c r="M2116" s="65" t="s">
        <v>4261</v>
      </c>
      <c r="N2116" s="65" t="s">
        <v>4262</v>
      </c>
    </row>
    <row r="2117" spans="13:14" x14ac:dyDescent="0.25">
      <c r="M2117" s="65" t="s">
        <v>4263</v>
      </c>
      <c r="N2117" s="65" t="s">
        <v>4264</v>
      </c>
    </row>
    <row r="2118" spans="13:14" x14ac:dyDescent="0.25">
      <c r="M2118" s="65" t="s">
        <v>4265</v>
      </c>
      <c r="N2118" s="65" t="s">
        <v>4266</v>
      </c>
    </row>
    <row r="2119" spans="13:14" x14ac:dyDescent="0.25">
      <c r="M2119" s="65" t="s">
        <v>4267</v>
      </c>
      <c r="N2119" s="65" t="s">
        <v>4268</v>
      </c>
    </row>
    <row r="2120" spans="13:14" x14ac:dyDescent="0.25">
      <c r="M2120" s="65" t="s">
        <v>4269</v>
      </c>
      <c r="N2120" s="65" t="s">
        <v>4270</v>
      </c>
    </row>
    <row r="2121" spans="13:14" x14ac:dyDescent="0.25">
      <c r="M2121" s="65" t="s">
        <v>4271</v>
      </c>
      <c r="N2121" s="65" t="s">
        <v>4272</v>
      </c>
    </row>
    <row r="2122" spans="13:14" x14ac:dyDescent="0.25">
      <c r="M2122" s="65" t="s">
        <v>4273</v>
      </c>
      <c r="N2122" s="65" t="s">
        <v>4274</v>
      </c>
    </row>
    <row r="2123" spans="13:14" x14ac:dyDescent="0.25">
      <c r="M2123" s="65" t="s">
        <v>4275</v>
      </c>
      <c r="N2123" s="65" t="s">
        <v>4276</v>
      </c>
    </row>
    <row r="2124" spans="13:14" x14ac:dyDescent="0.25">
      <c r="M2124" s="65" t="s">
        <v>4277</v>
      </c>
      <c r="N2124" s="65" t="s">
        <v>4278</v>
      </c>
    </row>
    <row r="2125" spans="13:14" x14ac:dyDescent="0.25">
      <c r="M2125" s="65" t="s">
        <v>4279</v>
      </c>
      <c r="N2125" s="65" t="s">
        <v>4280</v>
      </c>
    </row>
    <row r="2126" spans="13:14" x14ac:dyDescent="0.25">
      <c r="M2126" s="65" t="s">
        <v>4281</v>
      </c>
      <c r="N2126" s="65" t="s">
        <v>4282</v>
      </c>
    </row>
    <row r="2127" spans="13:14" x14ac:dyDescent="0.25">
      <c r="M2127" s="65" t="s">
        <v>4283</v>
      </c>
      <c r="N2127" s="65" t="s">
        <v>4284</v>
      </c>
    </row>
    <row r="2128" spans="13:14" x14ac:dyDescent="0.25">
      <c r="M2128" s="65" t="s">
        <v>4285</v>
      </c>
      <c r="N2128" s="65" t="s">
        <v>4286</v>
      </c>
    </row>
    <row r="2129" spans="13:14" x14ac:dyDescent="0.25">
      <c r="M2129" s="65" t="s">
        <v>4287</v>
      </c>
      <c r="N2129" s="65" t="s">
        <v>4288</v>
      </c>
    </row>
    <row r="2130" spans="13:14" x14ac:dyDescent="0.25">
      <c r="M2130" s="65" t="s">
        <v>4289</v>
      </c>
      <c r="N2130" s="65" t="s">
        <v>4290</v>
      </c>
    </row>
    <row r="2131" spans="13:14" x14ac:dyDescent="0.25">
      <c r="M2131" s="65" t="s">
        <v>4291</v>
      </c>
      <c r="N2131" s="65" t="s">
        <v>4292</v>
      </c>
    </row>
    <row r="2132" spans="13:14" x14ac:dyDescent="0.25">
      <c r="M2132" s="65" t="s">
        <v>4293</v>
      </c>
      <c r="N2132" s="65" t="s">
        <v>4294</v>
      </c>
    </row>
    <row r="2133" spans="13:14" x14ac:dyDescent="0.25">
      <c r="M2133" s="65" t="s">
        <v>4295</v>
      </c>
      <c r="N2133" s="65" t="s">
        <v>4296</v>
      </c>
    </row>
    <row r="2134" spans="13:14" x14ac:dyDescent="0.25">
      <c r="M2134" s="65" t="s">
        <v>4297</v>
      </c>
      <c r="N2134" s="65" t="s">
        <v>4298</v>
      </c>
    </row>
    <row r="2135" spans="13:14" x14ac:dyDescent="0.25">
      <c r="M2135" s="65" t="s">
        <v>4299</v>
      </c>
      <c r="N2135" s="65" t="s">
        <v>4300</v>
      </c>
    </row>
    <row r="2136" spans="13:14" x14ac:dyDescent="0.25">
      <c r="M2136" s="65" t="s">
        <v>4301</v>
      </c>
      <c r="N2136" s="65" t="s">
        <v>4302</v>
      </c>
    </row>
    <row r="2137" spans="13:14" x14ac:dyDescent="0.25">
      <c r="M2137" s="65" t="s">
        <v>4303</v>
      </c>
      <c r="N2137" s="65" t="s">
        <v>4304</v>
      </c>
    </row>
    <row r="2138" spans="13:14" x14ac:dyDescent="0.25">
      <c r="M2138" s="65" t="s">
        <v>4305</v>
      </c>
      <c r="N2138" s="65" t="s">
        <v>4306</v>
      </c>
    </row>
    <row r="2139" spans="13:14" x14ac:dyDescent="0.25">
      <c r="M2139" s="65" t="s">
        <v>4307</v>
      </c>
      <c r="N2139" s="65" t="s">
        <v>4308</v>
      </c>
    </row>
    <row r="2140" spans="13:14" x14ac:dyDescent="0.25">
      <c r="M2140" s="65" t="s">
        <v>4309</v>
      </c>
      <c r="N2140" s="65" t="s">
        <v>4310</v>
      </c>
    </row>
    <row r="2141" spans="13:14" x14ac:dyDescent="0.25">
      <c r="M2141" s="65" t="s">
        <v>4311</v>
      </c>
      <c r="N2141" s="65" t="s">
        <v>4312</v>
      </c>
    </row>
    <row r="2142" spans="13:14" x14ac:dyDescent="0.25">
      <c r="M2142" s="65" t="s">
        <v>4313</v>
      </c>
      <c r="N2142" s="65" t="s">
        <v>4314</v>
      </c>
    </row>
    <row r="2143" spans="13:14" x14ac:dyDescent="0.25">
      <c r="M2143" s="65" t="s">
        <v>4315</v>
      </c>
      <c r="N2143" s="65" t="s">
        <v>4316</v>
      </c>
    </row>
    <row r="2144" spans="13:14" x14ac:dyDescent="0.25">
      <c r="M2144" s="65" t="s">
        <v>4317</v>
      </c>
      <c r="N2144" s="65" t="s">
        <v>4318</v>
      </c>
    </row>
    <row r="2145" spans="13:14" x14ac:dyDescent="0.25">
      <c r="M2145" s="65" t="s">
        <v>4319</v>
      </c>
      <c r="N2145" s="65" t="s">
        <v>4320</v>
      </c>
    </row>
    <row r="2146" spans="13:14" x14ac:dyDescent="0.25">
      <c r="M2146" s="65" t="s">
        <v>4321</v>
      </c>
      <c r="N2146" s="65" t="s">
        <v>4322</v>
      </c>
    </row>
    <row r="2147" spans="13:14" x14ac:dyDescent="0.25">
      <c r="M2147" s="65" t="s">
        <v>4323</v>
      </c>
      <c r="N2147" s="65" t="s">
        <v>4324</v>
      </c>
    </row>
    <row r="2148" spans="13:14" x14ac:dyDescent="0.25">
      <c r="M2148" s="65" t="s">
        <v>4325</v>
      </c>
      <c r="N2148" s="65" t="s">
        <v>4326</v>
      </c>
    </row>
    <row r="2149" spans="13:14" x14ac:dyDescent="0.25">
      <c r="M2149" s="65" t="s">
        <v>4327</v>
      </c>
      <c r="N2149" s="65" t="s">
        <v>4328</v>
      </c>
    </row>
    <row r="2150" spans="13:14" x14ac:dyDescent="0.25">
      <c r="M2150" s="65" t="s">
        <v>4329</v>
      </c>
      <c r="N2150" s="65" t="s">
        <v>4330</v>
      </c>
    </row>
    <row r="2151" spans="13:14" x14ac:dyDescent="0.25">
      <c r="M2151" s="65" t="s">
        <v>4331</v>
      </c>
      <c r="N2151" s="65" t="s">
        <v>4332</v>
      </c>
    </row>
    <row r="2152" spans="13:14" x14ac:dyDescent="0.25">
      <c r="M2152" s="65" t="s">
        <v>4333</v>
      </c>
      <c r="N2152" s="65" t="s">
        <v>4334</v>
      </c>
    </row>
    <row r="2153" spans="13:14" x14ac:dyDescent="0.25">
      <c r="M2153" s="65" t="s">
        <v>4335</v>
      </c>
      <c r="N2153" s="65" t="s">
        <v>4336</v>
      </c>
    </row>
    <row r="2154" spans="13:14" x14ac:dyDescent="0.25">
      <c r="M2154" s="65" t="s">
        <v>4337</v>
      </c>
      <c r="N2154" s="65" t="s">
        <v>4338</v>
      </c>
    </row>
    <row r="2155" spans="13:14" x14ac:dyDescent="0.25">
      <c r="M2155" s="65" t="s">
        <v>4339</v>
      </c>
      <c r="N2155" s="65" t="s">
        <v>4340</v>
      </c>
    </row>
    <row r="2156" spans="13:14" x14ac:dyDescent="0.25">
      <c r="M2156" s="65" t="s">
        <v>4341</v>
      </c>
      <c r="N2156" s="65" t="s">
        <v>4342</v>
      </c>
    </row>
    <row r="2157" spans="13:14" x14ac:dyDescent="0.25">
      <c r="M2157" s="65" t="s">
        <v>4343</v>
      </c>
      <c r="N2157" s="65" t="s">
        <v>4344</v>
      </c>
    </row>
    <row r="2158" spans="13:14" x14ac:dyDescent="0.25">
      <c r="M2158" s="65" t="s">
        <v>4345</v>
      </c>
      <c r="N2158" s="65" t="s">
        <v>4346</v>
      </c>
    </row>
    <row r="2159" spans="13:14" x14ac:dyDescent="0.25">
      <c r="M2159" s="65" t="s">
        <v>4347</v>
      </c>
      <c r="N2159" s="65" t="s">
        <v>4348</v>
      </c>
    </row>
    <row r="2160" spans="13:14" x14ac:dyDescent="0.25">
      <c r="M2160" s="65" t="s">
        <v>4349</v>
      </c>
      <c r="N2160" s="65" t="s">
        <v>4350</v>
      </c>
    </row>
    <row r="2161" spans="13:14" x14ac:dyDescent="0.25">
      <c r="M2161" s="65" t="s">
        <v>4351</v>
      </c>
      <c r="N2161" s="65" t="s">
        <v>4352</v>
      </c>
    </row>
    <row r="2162" spans="13:14" x14ac:dyDescent="0.25">
      <c r="M2162" s="65" t="s">
        <v>4353</v>
      </c>
      <c r="N2162" s="65" t="s">
        <v>4354</v>
      </c>
    </row>
    <row r="2163" spans="13:14" x14ac:dyDescent="0.25">
      <c r="M2163" s="65" t="s">
        <v>4355</v>
      </c>
      <c r="N2163" s="65" t="s">
        <v>4356</v>
      </c>
    </row>
    <row r="2164" spans="13:14" x14ac:dyDescent="0.25">
      <c r="M2164" s="65" t="s">
        <v>4357</v>
      </c>
      <c r="N2164" s="65" t="s">
        <v>4358</v>
      </c>
    </row>
    <row r="2165" spans="13:14" x14ac:dyDescent="0.25">
      <c r="M2165" s="65" t="s">
        <v>4359</v>
      </c>
      <c r="N2165" s="65" t="s">
        <v>4360</v>
      </c>
    </row>
    <row r="2166" spans="13:14" x14ac:dyDescent="0.25">
      <c r="M2166" s="65" t="s">
        <v>4361</v>
      </c>
      <c r="N2166" s="65" t="s">
        <v>4362</v>
      </c>
    </row>
    <row r="2167" spans="13:14" x14ac:dyDescent="0.25">
      <c r="M2167" s="65" t="s">
        <v>4363</v>
      </c>
      <c r="N2167" s="65" t="s">
        <v>4364</v>
      </c>
    </row>
    <row r="2168" spans="13:14" x14ac:dyDescent="0.25">
      <c r="M2168" s="65" t="s">
        <v>4365</v>
      </c>
      <c r="N2168" s="65" t="s">
        <v>4366</v>
      </c>
    </row>
    <row r="2169" spans="13:14" x14ac:dyDescent="0.25">
      <c r="M2169" s="65" t="s">
        <v>4367</v>
      </c>
      <c r="N2169" s="65" t="s">
        <v>4368</v>
      </c>
    </row>
    <row r="2170" spans="13:14" x14ac:dyDescent="0.25">
      <c r="M2170" s="65" t="s">
        <v>4369</v>
      </c>
      <c r="N2170" s="65" t="s">
        <v>4370</v>
      </c>
    </row>
    <row r="2171" spans="13:14" x14ac:dyDescent="0.25">
      <c r="M2171" s="65" t="s">
        <v>4371</v>
      </c>
      <c r="N2171" s="65" t="s">
        <v>4372</v>
      </c>
    </row>
    <row r="2172" spans="13:14" x14ac:dyDescent="0.25">
      <c r="M2172" s="65" t="s">
        <v>4373</v>
      </c>
      <c r="N2172" s="65" t="s">
        <v>4374</v>
      </c>
    </row>
    <row r="2173" spans="13:14" x14ac:dyDescent="0.25">
      <c r="M2173" s="65" t="s">
        <v>4375</v>
      </c>
      <c r="N2173" s="65" t="s">
        <v>4376</v>
      </c>
    </row>
    <row r="2174" spans="13:14" x14ac:dyDescent="0.25">
      <c r="M2174" s="65" t="s">
        <v>4377</v>
      </c>
      <c r="N2174" s="65" t="s">
        <v>4378</v>
      </c>
    </row>
    <row r="2175" spans="13:14" x14ac:dyDescent="0.25">
      <c r="M2175" s="65" t="s">
        <v>4379</v>
      </c>
      <c r="N2175" s="65" t="s">
        <v>4380</v>
      </c>
    </row>
    <row r="2176" spans="13:14" x14ac:dyDescent="0.25">
      <c r="M2176" s="65" t="s">
        <v>4381</v>
      </c>
      <c r="N2176" s="65" t="s">
        <v>4382</v>
      </c>
    </row>
    <row r="2177" spans="13:14" x14ac:dyDescent="0.25">
      <c r="M2177" s="65" t="s">
        <v>4383</v>
      </c>
      <c r="N2177" s="65" t="s">
        <v>4384</v>
      </c>
    </row>
    <row r="2178" spans="13:14" x14ac:dyDescent="0.25">
      <c r="M2178" s="65" t="s">
        <v>4385</v>
      </c>
      <c r="N2178" s="65" t="s">
        <v>4386</v>
      </c>
    </row>
    <row r="2179" spans="13:14" x14ac:dyDescent="0.25">
      <c r="M2179" s="65" t="s">
        <v>4387</v>
      </c>
      <c r="N2179" s="65" t="s">
        <v>4388</v>
      </c>
    </row>
    <row r="2180" spans="13:14" x14ac:dyDescent="0.25">
      <c r="M2180" s="65" t="s">
        <v>4389</v>
      </c>
      <c r="N2180" s="65" t="s">
        <v>4390</v>
      </c>
    </row>
    <row r="2181" spans="13:14" x14ac:dyDescent="0.25">
      <c r="M2181" s="65" t="s">
        <v>4391</v>
      </c>
      <c r="N2181" s="65" t="s">
        <v>4392</v>
      </c>
    </row>
    <row r="2182" spans="13:14" x14ac:dyDescent="0.25">
      <c r="M2182" s="65" t="s">
        <v>4393</v>
      </c>
      <c r="N2182" s="65" t="s">
        <v>4394</v>
      </c>
    </row>
    <row r="2183" spans="13:14" x14ac:dyDescent="0.25">
      <c r="M2183" s="65" t="s">
        <v>4395</v>
      </c>
      <c r="N2183" s="65" t="s">
        <v>4396</v>
      </c>
    </row>
    <row r="2184" spans="13:14" x14ac:dyDescent="0.25">
      <c r="M2184" s="65" t="s">
        <v>4397</v>
      </c>
      <c r="N2184" s="65" t="s">
        <v>4398</v>
      </c>
    </row>
    <row r="2185" spans="13:14" x14ac:dyDescent="0.25">
      <c r="M2185" s="65" t="s">
        <v>4399</v>
      </c>
      <c r="N2185" s="65" t="s">
        <v>4400</v>
      </c>
    </row>
    <row r="2186" spans="13:14" x14ac:dyDescent="0.25">
      <c r="M2186" s="65" t="s">
        <v>4401</v>
      </c>
      <c r="N2186" s="65" t="s">
        <v>4402</v>
      </c>
    </row>
    <row r="2187" spans="13:14" x14ac:dyDescent="0.25">
      <c r="M2187" s="65" t="s">
        <v>4403</v>
      </c>
      <c r="N2187" s="65" t="s">
        <v>4404</v>
      </c>
    </row>
    <row r="2188" spans="13:14" x14ac:dyDescent="0.25">
      <c r="M2188" s="65" t="s">
        <v>4405</v>
      </c>
      <c r="N2188" s="65" t="s">
        <v>4406</v>
      </c>
    </row>
    <row r="2189" spans="13:14" x14ac:dyDescent="0.25">
      <c r="M2189" s="65" t="s">
        <v>4407</v>
      </c>
      <c r="N2189" s="65" t="s">
        <v>4408</v>
      </c>
    </row>
    <row r="2190" spans="13:14" x14ac:dyDescent="0.25">
      <c r="M2190" s="65" t="s">
        <v>4409</v>
      </c>
      <c r="N2190" s="65" t="s">
        <v>4410</v>
      </c>
    </row>
    <row r="2191" spans="13:14" x14ac:dyDescent="0.25">
      <c r="M2191" s="65" t="s">
        <v>4411</v>
      </c>
      <c r="N2191" s="65" t="s">
        <v>4412</v>
      </c>
    </row>
    <row r="2192" spans="13:14" x14ac:dyDescent="0.25">
      <c r="M2192" s="65" t="s">
        <v>4413</v>
      </c>
      <c r="N2192" s="65" t="s">
        <v>4414</v>
      </c>
    </row>
    <row r="2193" spans="13:14" x14ac:dyDescent="0.25">
      <c r="M2193" s="65" t="s">
        <v>4415</v>
      </c>
      <c r="N2193" s="65" t="s">
        <v>4416</v>
      </c>
    </row>
    <row r="2194" spans="13:14" x14ac:dyDescent="0.25">
      <c r="M2194" s="65" t="s">
        <v>4417</v>
      </c>
      <c r="N2194" s="65" t="s">
        <v>4418</v>
      </c>
    </row>
    <row r="2195" spans="13:14" x14ac:dyDescent="0.25">
      <c r="M2195" s="65" t="s">
        <v>4419</v>
      </c>
      <c r="N2195" s="65" t="s">
        <v>4420</v>
      </c>
    </row>
    <row r="2196" spans="13:14" x14ac:dyDescent="0.25">
      <c r="M2196" s="65" t="s">
        <v>4421</v>
      </c>
      <c r="N2196" s="65" t="s">
        <v>4422</v>
      </c>
    </row>
    <row r="2197" spans="13:14" x14ac:dyDescent="0.25">
      <c r="M2197" s="65" t="s">
        <v>4423</v>
      </c>
      <c r="N2197" s="65" t="s">
        <v>4424</v>
      </c>
    </row>
    <row r="2198" spans="13:14" x14ac:dyDescent="0.25">
      <c r="M2198" s="65" t="s">
        <v>4425</v>
      </c>
      <c r="N2198" s="65" t="s">
        <v>4426</v>
      </c>
    </row>
    <row r="2199" spans="13:14" x14ac:dyDescent="0.25">
      <c r="M2199" s="65" t="s">
        <v>4427</v>
      </c>
      <c r="N2199" s="65" t="s">
        <v>4428</v>
      </c>
    </row>
    <row r="2200" spans="13:14" x14ac:dyDescent="0.25">
      <c r="M2200" s="65" t="s">
        <v>4429</v>
      </c>
      <c r="N2200" s="65" t="s">
        <v>4430</v>
      </c>
    </row>
    <row r="2201" spans="13:14" x14ac:dyDescent="0.25">
      <c r="M2201" s="65" t="s">
        <v>4431</v>
      </c>
      <c r="N2201" s="65" t="s">
        <v>4432</v>
      </c>
    </row>
    <row r="2202" spans="13:14" x14ac:dyDescent="0.25">
      <c r="M2202" s="65" t="s">
        <v>4433</v>
      </c>
      <c r="N2202" s="65" t="s">
        <v>4434</v>
      </c>
    </row>
    <row r="2203" spans="13:14" x14ac:dyDescent="0.25">
      <c r="M2203" s="65" t="s">
        <v>4435</v>
      </c>
      <c r="N2203" s="65" t="s">
        <v>4436</v>
      </c>
    </row>
    <row r="2204" spans="13:14" x14ac:dyDescent="0.25">
      <c r="M2204" s="65" t="s">
        <v>4437</v>
      </c>
      <c r="N2204" s="65" t="s">
        <v>4438</v>
      </c>
    </row>
    <row r="2205" spans="13:14" x14ac:dyDescent="0.25">
      <c r="M2205" s="65" t="s">
        <v>4439</v>
      </c>
      <c r="N2205" s="65" t="s">
        <v>4440</v>
      </c>
    </row>
    <row r="2206" spans="13:14" x14ac:dyDescent="0.25">
      <c r="M2206" s="65" t="s">
        <v>4441</v>
      </c>
      <c r="N2206" s="65" t="s">
        <v>4442</v>
      </c>
    </row>
    <row r="2207" spans="13:14" x14ac:dyDescent="0.25">
      <c r="M2207" s="65" t="s">
        <v>4443</v>
      </c>
      <c r="N2207" s="65" t="s">
        <v>4444</v>
      </c>
    </row>
    <row r="2208" spans="13:14" x14ac:dyDescent="0.25">
      <c r="M2208" s="65" t="s">
        <v>4445</v>
      </c>
      <c r="N2208" s="65" t="s">
        <v>4446</v>
      </c>
    </row>
    <row r="2209" spans="13:14" x14ac:dyDescent="0.25">
      <c r="M2209" s="65" t="s">
        <v>4447</v>
      </c>
      <c r="N2209" s="65" t="s">
        <v>4448</v>
      </c>
    </row>
    <row r="2210" spans="13:14" x14ac:dyDescent="0.25">
      <c r="M2210" s="65" t="s">
        <v>4449</v>
      </c>
      <c r="N2210" s="65" t="s">
        <v>4450</v>
      </c>
    </row>
    <row r="2211" spans="13:14" x14ac:dyDescent="0.25">
      <c r="M2211" s="65" t="s">
        <v>4451</v>
      </c>
      <c r="N2211" s="65" t="s">
        <v>4452</v>
      </c>
    </row>
    <row r="2212" spans="13:14" x14ac:dyDescent="0.25">
      <c r="M2212" s="65" t="s">
        <v>4453</v>
      </c>
      <c r="N2212" s="65" t="s">
        <v>4454</v>
      </c>
    </row>
    <row r="2213" spans="13:14" x14ac:dyDescent="0.25">
      <c r="M2213" s="65" t="s">
        <v>4455</v>
      </c>
      <c r="N2213" s="65" t="s">
        <v>4456</v>
      </c>
    </row>
    <row r="2214" spans="13:14" x14ac:dyDescent="0.25">
      <c r="M2214" s="65" t="s">
        <v>4457</v>
      </c>
      <c r="N2214" s="65" t="s">
        <v>4458</v>
      </c>
    </row>
    <row r="2215" spans="13:14" x14ac:dyDescent="0.25">
      <c r="M2215" s="65" t="s">
        <v>4459</v>
      </c>
      <c r="N2215" s="65" t="s">
        <v>4460</v>
      </c>
    </row>
    <row r="2216" spans="13:14" x14ac:dyDescent="0.25">
      <c r="M2216" s="65" t="s">
        <v>4461</v>
      </c>
      <c r="N2216" s="65" t="s">
        <v>4462</v>
      </c>
    </row>
    <row r="2217" spans="13:14" x14ac:dyDescent="0.25">
      <c r="M2217" s="65" t="s">
        <v>4463</v>
      </c>
      <c r="N2217" s="65" t="s">
        <v>4464</v>
      </c>
    </row>
    <row r="2218" spans="13:14" x14ac:dyDescent="0.25">
      <c r="M2218" s="65" t="s">
        <v>4465</v>
      </c>
      <c r="N2218" s="65" t="s">
        <v>4466</v>
      </c>
    </row>
    <row r="2219" spans="13:14" x14ac:dyDescent="0.25">
      <c r="M2219" s="65" t="s">
        <v>4467</v>
      </c>
      <c r="N2219" s="65" t="s">
        <v>4468</v>
      </c>
    </row>
    <row r="2220" spans="13:14" x14ac:dyDescent="0.25">
      <c r="M2220" s="65" t="s">
        <v>4469</v>
      </c>
      <c r="N2220" s="65" t="s">
        <v>4470</v>
      </c>
    </row>
    <row r="2221" spans="13:14" x14ac:dyDescent="0.25">
      <c r="M2221" s="65" t="s">
        <v>4471</v>
      </c>
      <c r="N2221" s="65" t="s">
        <v>4472</v>
      </c>
    </row>
    <row r="2222" spans="13:14" x14ac:dyDescent="0.25">
      <c r="M2222" s="65" t="s">
        <v>4473</v>
      </c>
      <c r="N2222" s="65" t="s">
        <v>4474</v>
      </c>
    </row>
    <row r="2223" spans="13:14" x14ac:dyDescent="0.25">
      <c r="M2223" s="65" t="s">
        <v>4475</v>
      </c>
      <c r="N2223" s="65" t="s">
        <v>4476</v>
      </c>
    </row>
    <row r="2224" spans="13:14" x14ac:dyDescent="0.25">
      <c r="M2224" s="65" t="s">
        <v>4477</v>
      </c>
      <c r="N2224" s="65" t="s">
        <v>4478</v>
      </c>
    </row>
    <row r="2225" spans="13:14" x14ac:dyDescent="0.25">
      <c r="M2225" s="65" t="s">
        <v>4479</v>
      </c>
      <c r="N2225" s="65" t="s">
        <v>4480</v>
      </c>
    </row>
    <row r="2226" spans="13:14" x14ac:dyDescent="0.25">
      <c r="M2226" s="65" t="s">
        <v>4481</v>
      </c>
      <c r="N2226" s="65" t="s">
        <v>4482</v>
      </c>
    </row>
    <row r="2227" spans="13:14" x14ac:dyDescent="0.25">
      <c r="M2227" s="65" t="s">
        <v>4483</v>
      </c>
      <c r="N2227" s="65" t="s">
        <v>4484</v>
      </c>
    </row>
    <row r="2228" spans="13:14" x14ac:dyDescent="0.25">
      <c r="M2228" s="65" t="s">
        <v>4485</v>
      </c>
      <c r="N2228" s="65" t="s">
        <v>4486</v>
      </c>
    </row>
    <row r="2229" spans="13:14" x14ac:dyDescent="0.25">
      <c r="M2229" s="65" t="s">
        <v>4487</v>
      </c>
      <c r="N2229" s="65" t="s">
        <v>4488</v>
      </c>
    </row>
    <row r="2230" spans="13:14" x14ac:dyDescent="0.25">
      <c r="M2230" s="65" t="s">
        <v>4489</v>
      </c>
      <c r="N2230" s="65" t="s">
        <v>4490</v>
      </c>
    </row>
    <row r="2231" spans="13:14" x14ac:dyDescent="0.25">
      <c r="M2231" s="65" t="s">
        <v>4491</v>
      </c>
      <c r="N2231" s="65" t="s">
        <v>4492</v>
      </c>
    </row>
    <row r="2232" spans="13:14" x14ac:dyDescent="0.25">
      <c r="M2232" s="65" t="s">
        <v>4493</v>
      </c>
      <c r="N2232" s="65" t="s">
        <v>4494</v>
      </c>
    </row>
    <row r="2233" spans="13:14" x14ac:dyDescent="0.25">
      <c r="M2233" s="65" t="s">
        <v>4495</v>
      </c>
      <c r="N2233" s="65" t="s">
        <v>4496</v>
      </c>
    </row>
    <row r="2234" spans="13:14" x14ac:dyDescent="0.25">
      <c r="M2234" s="65" t="s">
        <v>4497</v>
      </c>
      <c r="N2234" s="65" t="s">
        <v>4498</v>
      </c>
    </row>
    <row r="2235" spans="13:14" x14ac:dyDescent="0.25">
      <c r="M2235" s="65" t="s">
        <v>4499</v>
      </c>
      <c r="N2235" s="65" t="s">
        <v>4500</v>
      </c>
    </row>
    <row r="2236" spans="13:14" x14ac:dyDescent="0.25">
      <c r="M2236" s="65" t="s">
        <v>4501</v>
      </c>
      <c r="N2236" s="65" t="s">
        <v>4502</v>
      </c>
    </row>
    <row r="2237" spans="13:14" x14ac:dyDescent="0.25">
      <c r="M2237" s="65" t="s">
        <v>4503</v>
      </c>
      <c r="N2237" s="65" t="s">
        <v>4504</v>
      </c>
    </row>
    <row r="2238" spans="13:14" x14ac:dyDescent="0.25">
      <c r="M2238" s="65" t="s">
        <v>4505</v>
      </c>
      <c r="N2238" s="65" t="s">
        <v>4506</v>
      </c>
    </row>
    <row r="2239" spans="13:14" x14ac:dyDescent="0.25">
      <c r="M2239" s="65" t="s">
        <v>4507</v>
      </c>
      <c r="N2239" s="65" t="s">
        <v>4508</v>
      </c>
    </row>
    <row r="2240" spans="13:14" x14ac:dyDescent="0.25">
      <c r="M2240" s="65" t="s">
        <v>4509</v>
      </c>
      <c r="N2240" s="65" t="s">
        <v>4510</v>
      </c>
    </row>
    <row r="2241" spans="13:14" x14ac:dyDescent="0.25">
      <c r="M2241" s="65" t="s">
        <v>4511</v>
      </c>
      <c r="N2241" s="65" t="s">
        <v>4512</v>
      </c>
    </row>
    <row r="2242" spans="13:14" x14ac:dyDescent="0.25">
      <c r="M2242" s="65" t="s">
        <v>4513</v>
      </c>
      <c r="N2242" s="65" t="s">
        <v>4514</v>
      </c>
    </row>
    <row r="2243" spans="13:14" x14ac:dyDescent="0.25">
      <c r="M2243" s="65" t="s">
        <v>4515</v>
      </c>
      <c r="N2243" s="65" t="s">
        <v>4516</v>
      </c>
    </row>
    <row r="2244" spans="13:14" x14ac:dyDescent="0.25">
      <c r="M2244" s="65" t="s">
        <v>4517</v>
      </c>
      <c r="N2244" s="65" t="s">
        <v>4518</v>
      </c>
    </row>
    <row r="2245" spans="13:14" x14ac:dyDescent="0.25">
      <c r="M2245" s="65" t="s">
        <v>4519</v>
      </c>
      <c r="N2245" s="65" t="s">
        <v>4520</v>
      </c>
    </row>
    <row r="2246" spans="13:14" x14ac:dyDescent="0.25">
      <c r="M2246" s="65" t="s">
        <v>4521</v>
      </c>
      <c r="N2246" s="65" t="s">
        <v>4522</v>
      </c>
    </row>
    <row r="2247" spans="13:14" x14ac:dyDescent="0.25">
      <c r="M2247" s="65" t="s">
        <v>4523</v>
      </c>
      <c r="N2247" s="65" t="s">
        <v>4524</v>
      </c>
    </row>
    <row r="2248" spans="13:14" x14ac:dyDescent="0.25">
      <c r="M2248" s="65" t="s">
        <v>4525</v>
      </c>
      <c r="N2248" s="65" t="s">
        <v>4526</v>
      </c>
    </row>
    <row r="2249" spans="13:14" x14ac:dyDescent="0.25">
      <c r="M2249" s="65" t="s">
        <v>4527</v>
      </c>
      <c r="N2249" s="65" t="s">
        <v>4528</v>
      </c>
    </row>
    <row r="2250" spans="13:14" x14ac:dyDescent="0.25">
      <c r="M2250" s="65" t="s">
        <v>4529</v>
      </c>
      <c r="N2250" s="65" t="s">
        <v>4530</v>
      </c>
    </row>
    <row r="2251" spans="13:14" x14ac:dyDescent="0.25">
      <c r="M2251" s="65" t="s">
        <v>4531</v>
      </c>
      <c r="N2251" s="65" t="s">
        <v>4532</v>
      </c>
    </row>
    <row r="2252" spans="13:14" x14ac:dyDescent="0.25">
      <c r="M2252" s="65" t="s">
        <v>4533</v>
      </c>
      <c r="N2252" s="65" t="s">
        <v>4534</v>
      </c>
    </row>
    <row r="2253" spans="13:14" x14ac:dyDescent="0.25">
      <c r="M2253" s="65" t="s">
        <v>4535</v>
      </c>
      <c r="N2253" s="65" t="s">
        <v>4536</v>
      </c>
    </row>
    <row r="2254" spans="13:14" x14ac:dyDescent="0.25">
      <c r="M2254" s="65" t="s">
        <v>4537</v>
      </c>
      <c r="N2254" s="65" t="s">
        <v>4538</v>
      </c>
    </row>
    <row r="2255" spans="13:14" x14ac:dyDescent="0.25">
      <c r="M2255" s="65" t="s">
        <v>4539</v>
      </c>
      <c r="N2255" s="65" t="s">
        <v>4540</v>
      </c>
    </row>
    <row r="2256" spans="13:14" x14ac:dyDescent="0.25">
      <c r="M2256" s="65" t="s">
        <v>4541</v>
      </c>
      <c r="N2256" s="65" t="s">
        <v>4542</v>
      </c>
    </row>
    <row r="2257" spans="13:14" x14ac:dyDescent="0.25">
      <c r="M2257" s="65" t="s">
        <v>4543</v>
      </c>
      <c r="N2257" s="65" t="s">
        <v>4544</v>
      </c>
    </row>
    <row r="2258" spans="13:14" x14ac:dyDescent="0.25">
      <c r="M2258" s="65" t="s">
        <v>4545</v>
      </c>
      <c r="N2258" s="65" t="s">
        <v>4546</v>
      </c>
    </row>
    <row r="2259" spans="13:14" x14ac:dyDescent="0.25">
      <c r="M2259" s="65" t="s">
        <v>4547</v>
      </c>
      <c r="N2259" s="65" t="s">
        <v>4548</v>
      </c>
    </row>
    <row r="2260" spans="13:14" x14ac:dyDescent="0.25">
      <c r="M2260" s="65" t="s">
        <v>4549</v>
      </c>
      <c r="N2260" s="65" t="s">
        <v>4550</v>
      </c>
    </row>
    <row r="2261" spans="13:14" x14ac:dyDescent="0.25">
      <c r="M2261" s="65" t="s">
        <v>4551</v>
      </c>
      <c r="N2261" s="65" t="s">
        <v>4552</v>
      </c>
    </row>
    <row r="2262" spans="13:14" x14ac:dyDescent="0.25">
      <c r="M2262" s="65" t="s">
        <v>4553</v>
      </c>
      <c r="N2262" s="65" t="s">
        <v>4554</v>
      </c>
    </row>
    <row r="2263" spans="13:14" x14ac:dyDescent="0.25">
      <c r="M2263" s="65" t="s">
        <v>4555</v>
      </c>
      <c r="N2263" s="65" t="s">
        <v>4556</v>
      </c>
    </row>
    <row r="2264" spans="13:14" x14ac:dyDescent="0.25">
      <c r="M2264" s="65" t="s">
        <v>4557</v>
      </c>
      <c r="N2264" s="65" t="s">
        <v>4558</v>
      </c>
    </row>
    <row r="2265" spans="13:14" x14ac:dyDescent="0.25">
      <c r="M2265" s="65" t="s">
        <v>4559</v>
      </c>
      <c r="N2265" s="65" t="s">
        <v>4560</v>
      </c>
    </row>
    <row r="2266" spans="13:14" x14ac:dyDescent="0.25">
      <c r="M2266" s="65" t="s">
        <v>4561</v>
      </c>
      <c r="N2266" s="65" t="s">
        <v>4562</v>
      </c>
    </row>
    <row r="2267" spans="13:14" x14ac:dyDescent="0.25">
      <c r="M2267" s="65" t="s">
        <v>4563</v>
      </c>
      <c r="N2267" s="65" t="s">
        <v>4564</v>
      </c>
    </row>
    <row r="2268" spans="13:14" x14ac:dyDescent="0.25">
      <c r="M2268" s="65" t="s">
        <v>4565</v>
      </c>
      <c r="N2268" s="65" t="s">
        <v>4566</v>
      </c>
    </row>
    <row r="2269" spans="13:14" x14ac:dyDescent="0.25">
      <c r="M2269" s="65" t="s">
        <v>4567</v>
      </c>
      <c r="N2269" s="65" t="s">
        <v>4568</v>
      </c>
    </row>
    <row r="2270" spans="13:14" x14ac:dyDescent="0.25">
      <c r="M2270" s="65" t="s">
        <v>4569</v>
      </c>
      <c r="N2270" s="65" t="s">
        <v>4570</v>
      </c>
    </row>
    <row r="2271" spans="13:14" x14ac:dyDescent="0.25">
      <c r="M2271" s="65" t="s">
        <v>4571</v>
      </c>
      <c r="N2271" s="65" t="s">
        <v>4572</v>
      </c>
    </row>
    <row r="2272" spans="13:14" x14ac:dyDescent="0.25">
      <c r="M2272" s="65" t="s">
        <v>4573</v>
      </c>
      <c r="N2272" s="65" t="s">
        <v>4574</v>
      </c>
    </row>
    <row r="2273" spans="13:14" x14ac:dyDescent="0.25">
      <c r="M2273" s="65" t="s">
        <v>4575</v>
      </c>
      <c r="N2273" s="65" t="s">
        <v>4576</v>
      </c>
    </row>
    <row r="2274" spans="13:14" x14ac:dyDescent="0.25">
      <c r="M2274" s="65" t="s">
        <v>4577</v>
      </c>
      <c r="N2274" s="65" t="s">
        <v>4578</v>
      </c>
    </row>
    <row r="2275" spans="13:14" x14ac:dyDescent="0.25">
      <c r="M2275" s="65" t="s">
        <v>4579</v>
      </c>
      <c r="N2275" s="65" t="s">
        <v>4580</v>
      </c>
    </row>
    <row r="2276" spans="13:14" x14ac:dyDescent="0.25">
      <c r="M2276" s="65" t="s">
        <v>4581</v>
      </c>
      <c r="N2276" s="65" t="s">
        <v>4582</v>
      </c>
    </row>
    <row r="2277" spans="13:14" x14ac:dyDescent="0.25">
      <c r="M2277" s="65" t="s">
        <v>4583</v>
      </c>
      <c r="N2277" s="65" t="s">
        <v>4584</v>
      </c>
    </row>
    <row r="2278" spans="13:14" x14ac:dyDescent="0.25">
      <c r="M2278" s="65" t="s">
        <v>4585</v>
      </c>
      <c r="N2278" s="65" t="s">
        <v>4586</v>
      </c>
    </row>
    <row r="2279" spans="13:14" x14ac:dyDescent="0.25">
      <c r="M2279" s="65" t="s">
        <v>4587</v>
      </c>
      <c r="N2279" s="65" t="s">
        <v>4588</v>
      </c>
    </row>
    <row r="2280" spans="13:14" x14ac:dyDescent="0.25">
      <c r="M2280" s="65" t="s">
        <v>4589</v>
      </c>
      <c r="N2280" s="65" t="s">
        <v>4590</v>
      </c>
    </row>
    <row r="2281" spans="13:14" x14ac:dyDescent="0.25">
      <c r="M2281" s="65" t="s">
        <v>4591</v>
      </c>
      <c r="N2281" s="65" t="s">
        <v>4592</v>
      </c>
    </row>
    <row r="2282" spans="13:14" x14ac:dyDescent="0.25">
      <c r="M2282" s="65" t="s">
        <v>4593</v>
      </c>
      <c r="N2282" s="65" t="s">
        <v>4594</v>
      </c>
    </row>
    <row r="2283" spans="13:14" x14ac:dyDescent="0.25">
      <c r="M2283" s="65" t="s">
        <v>4595</v>
      </c>
      <c r="N2283" s="65" t="s">
        <v>4596</v>
      </c>
    </row>
    <row r="2284" spans="13:14" x14ac:dyDescent="0.25">
      <c r="M2284" s="65" t="s">
        <v>4597</v>
      </c>
      <c r="N2284" s="65" t="s">
        <v>4598</v>
      </c>
    </row>
    <row r="2285" spans="13:14" x14ac:dyDescent="0.25">
      <c r="M2285" s="65" t="s">
        <v>4599</v>
      </c>
      <c r="N2285" s="65" t="s">
        <v>4600</v>
      </c>
    </row>
    <row r="2286" spans="13:14" x14ac:dyDescent="0.25">
      <c r="M2286" s="65" t="s">
        <v>4601</v>
      </c>
      <c r="N2286" s="65" t="s">
        <v>4602</v>
      </c>
    </row>
    <row r="2287" spans="13:14" x14ac:dyDescent="0.25">
      <c r="M2287" s="65" t="s">
        <v>4603</v>
      </c>
      <c r="N2287" s="65" t="s">
        <v>4604</v>
      </c>
    </row>
    <row r="2288" spans="13:14" x14ac:dyDescent="0.25">
      <c r="M2288" s="65" t="s">
        <v>4605</v>
      </c>
      <c r="N2288" s="65" t="s">
        <v>4606</v>
      </c>
    </row>
    <row r="2289" spans="13:14" x14ac:dyDescent="0.25">
      <c r="M2289" s="65" t="s">
        <v>4607</v>
      </c>
      <c r="N2289" s="65" t="s">
        <v>4608</v>
      </c>
    </row>
    <row r="2290" spans="13:14" x14ac:dyDescent="0.25">
      <c r="M2290" s="65" t="s">
        <v>4609</v>
      </c>
      <c r="N2290" s="65" t="s">
        <v>4610</v>
      </c>
    </row>
    <row r="2291" spans="13:14" x14ac:dyDescent="0.25">
      <c r="M2291" s="65" t="s">
        <v>4611</v>
      </c>
      <c r="N2291" s="65" t="s">
        <v>4612</v>
      </c>
    </row>
    <row r="2292" spans="13:14" x14ac:dyDescent="0.25">
      <c r="M2292" s="65" t="s">
        <v>4613</v>
      </c>
      <c r="N2292" s="65" t="s">
        <v>4614</v>
      </c>
    </row>
    <row r="2293" spans="13:14" x14ac:dyDescent="0.25">
      <c r="M2293" s="65" t="s">
        <v>4615</v>
      </c>
      <c r="N2293" s="65" t="s">
        <v>4616</v>
      </c>
    </row>
    <row r="2294" spans="13:14" x14ac:dyDescent="0.25">
      <c r="M2294" s="65" t="s">
        <v>4617</v>
      </c>
      <c r="N2294" s="65" t="s">
        <v>4618</v>
      </c>
    </row>
    <row r="2295" spans="13:14" x14ac:dyDescent="0.25">
      <c r="M2295" s="65" t="s">
        <v>4619</v>
      </c>
      <c r="N2295" s="65" t="s">
        <v>4620</v>
      </c>
    </row>
    <row r="2296" spans="13:14" x14ac:dyDescent="0.25">
      <c r="M2296" s="65" t="s">
        <v>4621</v>
      </c>
      <c r="N2296" s="65" t="s">
        <v>4622</v>
      </c>
    </row>
    <row r="2297" spans="13:14" x14ac:dyDescent="0.25">
      <c r="M2297" s="65" t="s">
        <v>4623</v>
      </c>
      <c r="N2297" s="65" t="s">
        <v>4624</v>
      </c>
    </row>
    <row r="2298" spans="13:14" x14ac:dyDescent="0.25">
      <c r="M2298" s="65" t="s">
        <v>4625</v>
      </c>
      <c r="N2298" s="65" t="s">
        <v>4626</v>
      </c>
    </row>
    <row r="2299" spans="13:14" x14ac:dyDescent="0.25">
      <c r="M2299" s="65" t="s">
        <v>4627</v>
      </c>
      <c r="N2299" s="65" t="s">
        <v>4628</v>
      </c>
    </row>
    <row r="2300" spans="13:14" x14ac:dyDescent="0.25">
      <c r="M2300" s="65" t="s">
        <v>4629</v>
      </c>
      <c r="N2300" s="65" t="s">
        <v>4630</v>
      </c>
    </row>
    <row r="2301" spans="13:14" x14ac:dyDescent="0.25">
      <c r="M2301" s="65" t="s">
        <v>4631</v>
      </c>
      <c r="N2301" s="65" t="s">
        <v>4632</v>
      </c>
    </row>
    <row r="2302" spans="13:14" x14ac:dyDescent="0.25">
      <c r="M2302" s="65" t="s">
        <v>4633</v>
      </c>
      <c r="N2302" s="65" t="s">
        <v>4634</v>
      </c>
    </row>
    <row r="2303" spans="13:14" x14ac:dyDescent="0.25">
      <c r="M2303" s="65" t="s">
        <v>4635</v>
      </c>
      <c r="N2303" s="65" t="s">
        <v>4636</v>
      </c>
    </row>
    <row r="2304" spans="13:14" x14ac:dyDescent="0.25">
      <c r="M2304" s="65" t="s">
        <v>4637</v>
      </c>
      <c r="N2304" s="65" t="s">
        <v>4638</v>
      </c>
    </row>
    <row r="2305" spans="13:14" x14ac:dyDescent="0.25">
      <c r="M2305" s="65" t="s">
        <v>4639</v>
      </c>
      <c r="N2305" s="65" t="s">
        <v>4640</v>
      </c>
    </row>
    <row r="2306" spans="13:14" x14ac:dyDescent="0.25">
      <c r="M2306" s="65" t="s">
        <v>4641</v>
      </c>
      <c r="N2306" s="65" t="s">
        <v>4642</v>
      </c>
    </row>
    <row r="2307" spans="13:14" x14ac:dyDescent="0.25">
      <c r="M2307" s="65" t="s">
        <v>4643</v>
      </c>
      <c r="N2307" s="65" t="s">
        <v>4644</v>
      </c>
    </row>
    <row r="2308" spans="13:14" x14ac:dyDescent="0.25">
      <c r="M2308" s="65" t="s">
        <v>4645</v>
      </c>
      <c r="N2308" s="65" t="s">
        <v>4646</v>
      </c>
    </row>
    <row r="2309" spans="13:14" x14ac:dyDescent="0.25">
      <c r="M2309" s="65" t="s">
        <v>4647</v>
      </c>
      <c r="N2309" s="65" t="s">
        <v>4648</v>
      </c>
    </row>
    <row r="2310" spans="13:14" x14ac:dyDescent="0.25">
      <c r="M2310" s="65" t="s">
        <v>4649</v>
      </c>
      <c r="N2310" s="65" t="s">
        <v>4650</v>
      </c>
    </row>
    <row r="2311" spans="13:14" x14ac:dyDescent="0.25">
      <c r="M2311" s="65" t="s">
        <v>4651</v>
      </c>
      <c r="N2311" s="65" t="s">
        <v>4652</v>
      </c>
    </row>
    <row r="2312" spans="13:14" x14ac:dyDescent="0.25">
      <c r="M2312" s="65" t="s">
        <v>4653</v>
      </c>
      <c r="N2312" s="65" t="s">
        <v>4654</v>
      </c>
    </row>
    <row r="2313" spans="13:14" x14ac:dyDescent="0.25">
      <c r="M2313" s="65" t="s">
        <v>4655</v>
      </c>
      <c r="N2313" s="65" t="s">
        <v>4656</v>
      </c>
    </row>
    <row r="2314" spans="13:14" x14ac:dyDescent="0.25">
      <c r="M2314" s="65" t="s">
        <v>4657</v>
      </c>
      <c r="N2314" s="65" t="s">
        <v>4658</v>
      </c>
    </row>
    <row r="2315" spans="13:14" x14ac:dyDescent="0.25">
      <c r="M2315" s="65" t="s">
        <v>4659</v>
      </c>
      <c r="N2315" s="65" t="s">
        <v>4660</v>
      </c>
    </row>
    <row r="2316" spans="13:14" x14ac:dyDescent="0.25">
      <c r="M2316" s="65" t="s">
        <v>4661</v>
      </c>
      <c r="N2316" s="65" t="s">
        <v>4662</v>
      </c>
    </row>
    <row r="2317" spans="13:14" x14ac:dyDescent="0.25">
      <c r="M2317" s="65" t="s">
        <v>4663</v>
      </c>
      <c r="N2317" s="65" t="s">
        <v>4664</v>
      </c>
    </row>
    <row r="2318" spans="13:14" x14ac:dyDescent="0.25">
      <c r="M2318" s="65" t="s">
        <v>4665</v>
      </c>
      <c r="N2318" s="65" t="s">
        <v>4666</v>
      </c>
    </row>
    <row r="2319" spans="13:14" x14ac:dyDescent="0.25">
      <c r="M2319" s="65" t="s">
        <v>4667</v>
      </c>
      <c r="N2319" s="65" t="s">
        <v>4668</v>
      </c>
    </row>
    <row r="2320" spans="13:14" x14ac:dyDescent="0.25">
      <c r="M2320" s="65" t="s">
        <v>4669</v>
      </c>
      <c r="N2320" s="65" t="s">
        <v>4670</v>
      </c>
    </row>
    <row r="2321" spans="13:14" x14ac:dyDescent="0.25">
      <c r="M2321" s="65" t="s">
        <v>4671</v>
      </c>
      <c r="N2321" s="65" t="s">
        <v>4672</v>
      </c>
    </row>
    <row r="2322" spans="13:14" x14ac:dyDescent="0.25">
      <c r="M2322" s="65" t="s">
        <v>4673</v>
      </c>
      <c r="N2322" s="65" t="s">
        <v>4674</v>
      </c>
    </row>
    <row r="2323" spans="13:14" x14ac:dyDescent="0.25">
      <c r="M2323" s="65" t="s">
        <v>4675</v>
      </c>
      <c r="N2323" s="65" t="s">
        <v>4676</v>
      </c>
    </row>
    <row r="2324" spans="13:14" x14ac:dyDescent="0.25">
      <c r="M2324" s="65" t="s">
        <v>4677</v>
      </c>
      <c r="N2324" s="65" t="s">
        <v>4678</v>
      </c>
    </row>
    <row r="2325" spans="13:14" x14ac:dyDescent="0.25">
      <c r="M2325" s="65" t="s">
        <v>4679</v>
      </c>
      <c r="N2325" s="65" t="s">
        <v>4680</v>
      </c>
    </row>
    <row r="2326" spans="13:14" x14ac:dyDescent="0.25">
      <c r="M2326" s="65" t="s">
        <v>4681</v>
      </c>
      <c r="N2326" s="65" t="s">
        <v>4682</v>
      </c>
    </row>
    <row r="2327" spans="13:14" x14ac:dyDescent="0.25">
      <c r="M2327" s="65" t="s">
        <v>4683</v>
      </c>
      <c r="N2327" s="65" t="s">
        <v>4684</v>
      </c>
    </row>
    <row r="2328" spans="13:14" x14ac:dyDescent="0.25">
      <c r="M2328" s="65" t="s">
        <v>4685</v>
      </c>
      <c r="N2328" s="65" t="s">
        <v>4686</v>
      </c>
    </row>
    <row r="2329" spans="13:14" x14ac:dyDescent="0.25">
      <c r="M2329" s="65" t="s">
        <v>4687</v>
      </c>
      <c r="N2329" s="65" t="s">
        <v>4688</v>
      </c>
    </row>
    <row r="2330" spans="13:14" x14ac:dyDescent="0.25">
      <c r="M2330" s="65" t="s">
        <v>4689</v>
      </c>
      <c r="N2330" s="65" t="s">
        <v>4690</v>
      </c>
    </row>
    <row r="2331" spans="13:14" x14ac:dyDescent="0.25">
      <c r="M2331" s="65" t="s">
        <v>4691</v>
      </c>
      <c r="N2331" s="65" t="s">
        <v>4692</v>
      </c>
    </row>
    <row r="2332" spans="13:14" x14ac:dyDescent="0.25">
      <c r="M2332" s="65" t="s">
        <v>4693</v>
      </c>
      <c r="N2332" s="65" t="s">
        <v>4694</v>
      </c>
    </row>
    <row r="2333" spans="13:14" x14ac:dyDescent="0.25">
      <c r="M2333" s="65" t="s">
        <v>4695</v>
      </c>
      <c r="N2333" s="65" t="s">
        <v>4696</v>
      </c>
    </row>
    <row r="2334" spans="13:14" x14ac:dyDescent="0.25">
      <c r="M2334" s="65" t="s">
        <v>4697</v>
      </c>
      <c r="N2334" s="65" t="s">
        <v>4698</v>
      </c>
    </row>
    <row r="2335" spans="13:14" x14ac:dyDescent="0.25">
      <c r="M2335" s="65" t="s">
        <v>4699</v>
      </c>
      <c r="N2335" s="65" t="s">
        <v>4700</v>
      </c>
    </row>
    <row r="2336" spans="13:14" x14ac:dyDescent="0.25">
      <c r="M2336" s="65" t="s">
        <v>4701</v>
      </c>
      <c r="N2336" s="65" t="s">
        <v>4702</v>
      </c>
    </row>
    <row r="2337" spans="13:14" x14ac:dyDescent="0.25">
      <c r="M2337" s="65" t="s">
        <v>4703</v>
      </c>
      <c r="N2337" s="65" t="s">
        <v>4704</v>
      </c>
    </row>
    <row r="2338" spans="13:14" x14ac:dyDescent="0.25">
      <c r="M2338" s="65" t="s">
        <v>4705</v>
      </c>
      <c r="N2338" s="65" t="s">
        <v>4706</v>
      </c>
    </row>
    <row r="2339" spans="13:14" x14ac:dyDescent="0.25">
      <c r="M2339" s="65" t="s">
        <v>4707</v>
      </c>
      <c r="N2339" s="65" t="s">
        <v>4708</v>
      </c>
    </row>
    <row r="2340" spans="13:14" x14ac:dyDescent="0.25">
      <c r="M2340" s="65" t="s">
        <v>4709</v>
      </c>
      <c r="N2340" s="65" t="s">
        <v>4710</v>
      </c>
    </row>
    <row r="2341" spans="13:14" x14ac:dyDescent="0.25">
      <c r="M2341" s="65" t="s">
        <v>4711</v>
      </c>
      <c r="N2341" s="65" t="s">
        <v>4712</v>
      </c>
    </row>
    <row r="2342" spans="13:14" x14ac:dyDescent="0.25">
      <c r="M2342" s="65" t="s">
        <v>4713</v>
      </c>
      <c r="N2342" s="65" t="s">
        <v>4714</v>
      </c>
    </row>
    <row r="2343" spans="13:14" x14ac:dyDescent="0.25">
      <c r="M2343" s="65" t="s">
        <v>4715</v>
      </c>
      <c r="N2343" s="65" t="s">
        <v>4716</v>
      </c>
    </row>
    <row r="2344" spans="13:14" x14ac:dyDescent="0.25">
      <c r="M2344" s="65" t="s">
        <v>4717</v>
      </c>
      <c r="N2344" s="65" t="s">
        <v>4718</v>
      </c>
    </row>
    <row r="2345" spans="13:14" x14ac:dyDescent="0.25">
      <c r="M2345" s="65" t="s">
        <v>4719</v>
      </c>
      <c r="N2345" s="65" t="s">
        <v>4720</v>
      </c>
    </row>
    <row r="2346" spans="13:14" x14ac:dyDescent="0.25">
      <c r="M2346" s="65" t="s">
        <v>4721</v>
      </c>
      <c r="N2346" s="65" t="s">
        <v>4722</v>
      </c>
    </row>
    <row r="2347" spans="13:14" x14ac:dyDescent="0.25">
      <c r="M2347" s="65" t="s">
        <v>4723</v>
      </c>
      <c r="N2347" s="65" t="s">
        <v>4724</v>
      </c>
    </row>
    <row r="2348" spans="13:14" x14ac:dyDescent="0.25">
      <c r="M2348" s="65" t="s">
        <v>4725</v>
      </c>
      <c r="N2348" s="65" t="s">
        <v>4726</v>
      </c>
    </row>
    <row r="2349" spans="13:14" x14ac:dyDescent="0.25">
      <c r="M2349" s="65" t="s">
        <v>4727</v>
      </c>
      <c r="N2349" s="65" t="s">
        <v>4728</v>
      </c>
    </row>
    <row r="2350" spans="13:14" x14ac:dyDescent="0.25">
      <c r="M2350" s="65" t="s">
        <v>4729</v>
      </c>
      <c r="N2350" s="65" t="s">
        <v>4730</v>
      </c>
    </row>
    <row r="2351" spans="13:14" x14ac:dyDescent="0.25">
      <c r="M2351" s="65" t="s">
        <v>4731</v>
      </c>
      <c r="N2351" s="65" t="s">
        <v>4732</v>
      </c>
    </row>
    <row r="2352" spans="13:14" x14ac:dyDescent="0.25">
      <c r="M2352" s="65" t="s">
        <v>4733</v>
      </c>
      <c r="N2352" s="65" t="s">
        <v>4734</v>
      </c>
    </row>
    <row r="2353" spans="13:14" x14ac:dyDescent="0.25">
      <c r="M2353" s="65" t="s">
        <v>4735</v>
      </c>
      <c r="N2353" s="65" t="s">
        <v>4736</v>
      </c>
    </row>
    <row r="2354" spans="13:14" x14ac:dyDescent="0.25">
      <c r="M2354" s="65" t="s">
        <v>4737</v>
      </c>
      <c r="N2354" s="65" t="s">
        <v>4738</v>
      </c>
    </row>
    <row r="2355" spans="13:14" x14ac:dyDescent="0.25">
      <c r="M2355" s="65" t="s">
        <v>4739</v>
      </c>
      <c r="N2355" s="65" t="s">
        <v>4740</v>
      </c>
    </row>
    <row r="2356" spans="13:14" x14ac:dyDescent="0.25">
      <c r="M2356" s="65" t="s">
        <v>4741</v>
      </c>
      <c r="N2356" s="65" t="s">
        <v>4742</v>
      </c>
    </row>
    <row r="2357" spans="13:14" x14ac:dyDescent="0.25">
      <c r="M2357" s="65" t="s">
        <v>4743</v>
      </c>
      <c r="N2357" s="65" t="s">
        <v>4744</v>
      </c>
    </row>
    <row r="2358" spans="13:14" x14ac:dyDescent="0.25">
      <c r="M2358" s="65" t="s">
        <v>4745</v>
      </c>
      <c r="N2358" s="65" t="s">
        <v>4746</v>
      </c>
    </row>
    <row r="2359" spans="13:14" x14ac:dyDescent="0.25">
      <c r="M2359" s="65" t="s">
        <v>4747</v>
      </c>
      <c r="N2359" s="65" t="s">
        <v>4748</v>
      </c>
    </row>
    <row r="2360" spans="13:14" x14ac:dyDescent="0.25">
      <c r="M2360" s="65" t="s">
        <v>4749</v>
      </c>
      <c r="N2360" s="65" t="s">
        <v>4750</v>
      </c>
    </row>
    <row r="2361" spans="13:14" x14ac:dyDescent="0.25">
      <c r="M2361" s="65" t="s">
        <v>4751</v>
      </c>
      <c r="N2361" s="65" t="s">
        <v>4752</v>
      </c>
    </row>
    <row r="2362" spans="13:14" x14ac:dyDescent="0.25">
      <c r="M2362" s="65" t="s">
        <v>4753</v>
      </c>
      <c r="N2362" s="65" t="s">
        <v>4754</v>
      </c>
    </row>
    <row r="2363" spans="13:14" x14ac:dyDescent="0.25">
      <c r="M2363" s="65" t="s">
        <v>4755</v>
      </c>
      <c r="N2363" s="65" t="s">
        <v>4756</v>
      </c>
    </row>
    <row r="2364" spans="13:14" x14ac:dyDescent="0.25">
      <c r="M2364" s="65" t="s">
        <v>4757</v>
      </c>
      <c r="N2364" s="65" t="s">
        <v>4758</v>
      </c>
    </row>
    <row r="2365" spans="13:14" x14ac:dyDescent="0.25">
      <c r="M2365" s="65" t="s">
        <v>4759</v>
      </c>
      <c r="N2365" s="65" t="s">
        <v>4760</v>
      </c>
    </row>
    <row r="2366" spans="13:14" x14ac:dyDescent="0.25">
      <c r="M2366" s="65" t="s">
        <v>4761</v>
      </c>
      <c r="N2366" s="65" t="s">
        <v>4762</v>
      </c>
    </row>
    <row r="2367" spans="13:14" x14ac:dyDescent="0.25">
      <c r="M2367" s="65" t="s">
        <v>4763</v>
      </c>
      <c r="N2367" s="65" t="s">
        <v>4764</v>
      </c>
    </row>
    <row r="2368" spans="13:14" x14ac:dyDescent="0.25">
      <c r="M2368" s="65" t="s">
        <v>4765</v>
      </c>
      <c r="N2368" s="65" t="s">
        <v>4766</v>
      </c>
    </row>
    <row r="2369" spans="13:14" x14ac:dyDescent="0.25">
      <c r="M2369" s="65" t="s">
        <v>4767</v>
      </c>
      <c r="N2369" s="65" t="s">
        <v>4768</v>
      </c>
    </row>
    <row r="2370" spans="13:14" x14ac:dyDescent="0.25">
      <c r="M2370" s="65" t="s">
        <v>4769</v>
      </c>
      <c r="N2370" s="65" t="s">
        <v>4770</v>
      </c>
    </row>
    <row r="2371" spans="13:14" x14ac:dyDescent="0.25">
      <c r="M2371" s="65" t="s">
        <v>4771</v>
      </c>
      <c r="N2371" s="65" t="s">
        <v>4772</v>
      </c>
    </row>
    <row r="2372" spans="13:14" x14ac:dyDescent="0.25">
      <c r="M2372" s="65" t="s">
        <v>4773</v>
      </c>
      <c r="N2372" s="65" t="s">
        <v>4774</v>
      </c>
    </row>
    <row r="2373" spans="13:14" x14ac:dyDescent="0.25">
      <c r="M2373" s="65" t="s">
        <v>4775</v>
      </c>
      <c r="N2373" s="65" t="s">
        <v>4776</v>
      </c>
    </row>
    <row r="2374" spans="13:14" x14ac:dyDescent="0.25">
      <c r="M2374" s="65" t="s">
        <v>4777</v>
      </c>
      <c r="N2374" s="65" t="s">
        <v>4778</v>
      </c>
    </row>
    <row r="2375" spans="13:14" x14ac:dyDescent="0.25">
      <c r="M2375" s="65" t="s">
        <v>4779</v>
      </c>
      <c r="N2375" s="65" t="s">
        <v>4780</v>
      </c>
    </row>
    <row r="2376" spans="13:14" x14ac:dyDescent="0.25">
      <c r="M2376" s="65" t="s">
        <v>4781</v>
      </c>
      <c r="N2376" s="65" t="s">
        <v>4782</v>
      </c>
    </row>
    <row r="2377" spans="13:14" x14ac:dyDescent="0.25">
      <c r="M2377" s="65" t="s">
        <v>4783</v>
      </c>
      <c r="N2377" s="65" t="s">
        <v>4784</v>
      </c>
    </row>
    <row r="2378" spans="13:14" x14ac:dyDescent="0.25">
      <c r="M2378" s="65" t="s">
        <v>4785</v>
      </c>
      <c r="N2378" s="65" t="s">
        <v>4786</v>
      </c>
    </row>
    <row r="2379" spans="13:14" x14ac:dyDescent="0.25">
      <c r="M2379" s="65" t="s">
        <v>4787</v>
      </c>
      <c r="N2379" s="65" t="s">
        <v>4788</v>
      </c>
    </row>
    <row r="2380" spans="13:14" x14ac:dyDescent="0.25">
      <c r="M2380" s="65" t="s">
        <v>4789</v>
      </c>
      <c r="N2380" s="65" t="s">
        <v>4790</v>
      </c>
    </row>
    <row r="2381" spans="13:14" x14ac:dyDescent="0.25">
      <c r="M2381" s="65" t="s">
        <v>4791</v>
      </c>
      <c r="N2381" s="65" t="s">
        <v>4792</v>
      </c>
    </row>
    <row r="2382" spans="13:14" x14ac:dyDescent="0.25">
      <c r="M2382" s="65" t="s">
        <v>4793</v>
      </c>
      <c r="N2382" s="65" t="s">
        <v>4794</v>
      </c>
    </row>
    <row r="2383" spans="13:14" x14ac:dyDescent="0.25">
      <c r="M2383" s="65" t="s">
        <v>4795</v>
      </c>
      <c r="N2383" s="65" t="s">
        <v>4796</v>
      </c>
    </row>
    <row r="2384" spans="13:14" x14ac:dyDescent="0.25">
      <c r="M2384" s="65" t="s">
        <v>4797</v>
      </c>
      <c r="N2384" s="65" t="s">
        <v>4798</v>
      </c>
    </row>
    <row r="2385" spans="13:14" x14ac:dyDescent="0.25">
      <c r="M2385" s="65" t="s">
        <v>4799</v>
      </c>
      <c r="N2385" s="65" t="s">
        <v>4800</v>
      </c>
    </row>
    <row r="2386" spans="13:14" x14ac:dyDescent="0.25">
      <c r="M2386" s="65" t="s">
        <v>4801</v>
      </c>
      <c r="N2386" s="65" t="s">
        <v>4802</v>
      </c>
    </row>
    <row r="2387" spans="13:14" x14ac:dyDescent="0.25">
      <c r="M2387" s="65" t="s">
        <v>4803</v>
      </c>
      <c r="N2387" s="65" t="s">
        <v>4804</v>
      </c>
    </row>
    <row r="2388" spans="13:14" x14ac:dyDescent="0.25">
      <c r="M2388" s="65" t="s">
        <v>4805</v>
      </c>
      <c r="N2388" s="65" t="s">
        <v>4806</v>
      </c>
    </row>
    <row r="2389" spans="13:14" x14ac:dyDescent="0.25">
      <c r="M2389" s="65" t="s">
        <v>4807</v>
      </c>
      <c r="N2389" s="65" t="s">
        <v>4808</v>
      </c>
    </row>
    <row r="2390" spans="13:14" x14ac:dyDescent="0.25">
      <c r="M2390" s="65" t="s">
        <v>4809</v>
      </c>
      <c r="N2390" s="65" t="s">
        <v>4810</v>
      </c>
    </row>
    <row r="2391" spans="13:14" x14ac:dyDescent="0.25">
      <c r="M2391" s="65" t="s">
        <v>4811</v>
      </c>
      <c r="N2391" s="65" t="s">
        <v>4812</v>
      </c>
    </row>
    <row r="2392" spans="13:14" x14ac:dyDescent="0.25">
      <c r="M2392" s="65" t="s">
        <v>4813</v>
      </c>
      <c r="N2392" s="65" t="s">
        <v>4814</v>
      </c>
    </row>
    <row r="2393" spans="13:14" x14ac:dyDescent="0.25">
      <c r="M2393" s="65" t="s">
        <v>4815</v>
      </c>
      <c r="N2393" s="65" t="s">
        <v>4816</v>
      </c>
    </row>
    <row r="2394" spans="13:14" x14ac:dyDescent="0.25">
      <c r="M2394" s="65" t="s">
        <v>4817</v>
      </c>
      <c r="N2394" s="65" t="s">
        <v>4818</v>
      </c>
    </row>
    <row r="2395" spans="13:14" x14ac:dyDescent="0.25">
      <c r="M2395" s="65" t="s">
        <v>4819</v>
      </c>
      <c r="N2395" s="65" t="s">
        <v>4820</v>
      </c>
    </row>
    <row r="2396" spans="13:14" x14ac:dyDescent="0.25">
      <c r="M2396" s="65" t="s">
        <v>4821</v>
      </c>
      <c r="N2396" s="65" t="s">
        <v>4822</v>
      </c>
    </row>
    <row r="2397" spans="13:14" x14ac:dyDescent="0.25">
      <c r="M2397" s="65" t="s">
        <v>4823</v>
      </c>
      <c r="N2397" s="65" t="s">
        <v>4824</v>
      </c>
    </row>
    <row r="2398" spans="13:14" x14ac:dyDescent="0.25">
      <c r="M2398" s="65" t="s">
        <v>4825</v>
      </c>
      <c r="N2398" s="65" t="s">
        <v>4826</v>
      </c>
    </row>
    <row r="2399" spans="13:14" x14ac:dyDescent="0.25">
      <c r="M2399" s="65" t="s">
        <v>4827</v>
      </c>
      <c r="N2399" s="65" t="s">
        <v>4828</v>
      </c>
    </row>
    <row r="2400" spans="13:14" x14ac:dyDescent="0.25">
      <c r="M2400" s="65" t="s">
        <v>4829</v>
      </c>
      <c r="N2400" s="65" t="s">
        <v>4830</v>
      </c>
    </row>
    <row r="2401" spans="13:14" x14ac:dyDescent="0.25">
      <c r="M2401" s="65" t="s">
        <v>4831</v>
      </c>
      <c r="N2401" s="65" t="s">
        <v>4832</v>
      </c>
    </row>
    <row r="2402" spans="13:14" x14ac:dyDescent="0.25">
      <c r="M2402" s="65" t="s">
        <v>4833</v>
      </c>
      <c r="N2402" s="65" t="s">
        <v>4834</v>
      </c>
    </row>
    <row r="2403" spans="13:14" x14ac:dyDescent="0.25">
      <c r="M2403" s="65" t="s">
        <v>4835</v>
      </c>
      <c r="N2403" s="65" t="s">
        <v>4836</v>
      </c>
    </row>
    <row r="2404" spans="13:14" x14ac:dyDescent="0.25">
      <c r="M2404" s="65" t="s">
        <v>4837</v>
      </c>
      <c r="N2404" s="65" t="s">
        <v>4838</v>
      </c>
    </row>
    <row r="2405" spans="13:14" x14ac:dyDescent="0.25">
      <c r="M2405" s="65" t="s">
        <v>4839</v>
      </c>
      <c r="N2405" s="65" t="s">
        <v>4840</v>
      </c>
    </row>
    <row r="2406" spans="13:14" x14ac:dyDescent="0.25">
      <c r="M2406" s="65" t="s">
        <v>4841</v>
      </c>
      <c r="N2406" s="65" t="s">
        <v>4842</v>
      </c>
    </row>
    <row r="2407" spans="13:14" x14ac:dyDescent="0.25">
      <c r="M2407" s="65" t="s">
        <v>4843</v>
      </c>
      <c r="N2407" s="65" t="s">
        <v>4844</v>
      </c>
    </row>
    <row r="2408" spans="13:14" x14ac:dyDescent="0.25">
      <c r="M2408" s="65" t="s">
        <v>4845</v>
      </c>
      <c r="N2408" s="65" t="s">
        <v>4846</v>
      </c>
    </row>
    <row r="2409" spans="13:14" x14ac:dyDescent="0.25">
      <c r="M2409" s="65" t="s">
        <v>4847</v>
      </c>
      <c r="N2409" s="65" t="s">
        <v>4848</v>
      </c>
    </row>
    <row r="2410" spans="13:14" x14ac:dyDescent="0.25">
      <c r="M2410" s="65" t="s">
        <v>4849</v>
      </c>
      <c r="N2410" s="65" t="s">
        <v>4850</v>
      </c>
    </row>
    <row r="2411" spans="13:14" x14ac:dyDescent="0.25">
      <c r="M2411" s="65" t="s">
        <v>4851</v>
      </c>
      <c r="N2411" s="65" t="s">
        <v>4852</v>
      </c>
    </row>
    <row r="2412" spans="13:14" x14ac:dyDescent="0.25">
      <c r="M2412" s="65" t="s">
        <v>4853</v>
      </c>
      <c r="N2412" s="65" t="s">
        <v>4854</v>
      </c>
    </row>
    <row r="2413" spans="13:14" x14ac:dyDescent="0.25">
      <c r="M2413" s="65" t="s">
        <v>4855</v>
      </c>
      <c r="N2413" s="65" t="s">
        <v>4856</v>
      </c>
    </row>
    <row r="2414" spans="13:14" x14ac:dyDescent="0.25">
      <c r="M2414" s="65" t="s">
        <v>4857</v>
      </c>
      <c r="N2414" s="65" t="s">
        <v>4858</v>
      </c>
    </row>
    <row r="2415" spans="13:14" x14ac:dyDescent="0.25">
      <c r="M2415" s="65" t="s">
        <v>4859</v>
      </c>
      <c r="N2415" s="65" t="s">
        <v>4860</v>
      </c>
    </row>
    <row r="2416" spans="13:14" x14ac:dyDescent="0.25">
      <c r="M2416" s="65" t="s">
        <v>4861</v>
      </c>
      <c r="N2416" s="65" t="s">
        <v>4862</v>
      </c>
    </row>
    <row r="2417" spans="13:14" x14ac:dyDescent="0.25">
      <c r="M2417" s="65" t="s">
        <v>4863</v>
      </c>
      <c r="N2417" s="65" t="s">
        <v>4864</v>
      </c>
    </row>
    <row r="2418" spans="13:14" x14ac:dyDescent="0.25">
      <c r="M2418" s="65" t="s">
        <v>4865</v>
      </c>
      <c r="N2418" s="65" t="s">
        <v>4866</v>
      </c>
    </row>
    <row r="2419" spans="13:14" x14ac:dyDescent="0.25">
      <c r="M2419" s="65" t="s">
        <v>4867</v>
      </c>
      <c r="N2419" s="65" t="s">
        <v>4868</v>
      </c>
    </row>
    <row r="2420" spans="13:14" x14ac:dyDescent="0.25">
      <c r="M2420" s="65" t="s">
        <v>4869</v>
      </c>
      <c r="N2420" s="65" t="s">
        <v>4870</v>
      </c>
    </row>
    <row r="2421" spans="13:14" x14ac:dyDescent="0.25">
      <c r="M2421" s="65" t="s">
        <v>4871</v>
      </c>
      <c r="N2421" s="65" t="s">
        <v>4872</v>
      </c>
    </row>
    <row r="2422" spans="13:14" x14ac:dyDescent="0.25">
      <c r="M2422" s="65" t="s">
        <v>4873</v>
      </c>
      <c r="N2422" s="65" t="s">
        <v>4874</v>
      </c>
    </row>
    <row r="2423" spans="13:14" x14ac:dyDescent="0.25">
      <c r="M2423" s="65" t="s">
        <v>4875</v>
      </c>
      <c r="N2423" s="65" t="s">
        <v>4876</v>
      </c>
    </row>
    <row r="2424" spans="13:14" x14ac:dyDescent="0.25">
      <c r="M2424" s="65" t="s">
        <v>4877</v>
      </c>
      <c r="N2424" s="65" t="s">
        <v>4878</v>
      </c>
    </row>
    <row r="2425" spans="13:14" x14ac:dyDescent="0.25">
      <c r="M2425" s="65" t="s">
        <v>4879</v>
      </c>
      <c r="N2425" s="65" t="s">
        <v>4880</v>
      </c>
    </row>
    <row r="2426" spans="13:14" x14ac:dyDescent="0.25">
      <c r="M2426" s="65" t="s">
        <v>4881</v>
      </c>
      <c r="N2426" s="65" t="s">
        <v>4882</v>
      </c>
    </row>
    <row r="2427" spans="13:14" x14ac:dyDescent="0.25">
      <c r="M2427" s="65" t="s">
        <v>4883</v>
      </c>
      <c r="N2427" s="65" t="s">
        <v>4884</v>
      </c>
    </row>
    <row r="2428" spans="13:14" x14ac:dyDescent="0.25">
      <c r="M2428" s="65" t="s">
        <v>4885</v>
      </c>
      <c r="N2428" s="65" t="s">
        <v>4886</v>
      </c>
    </row>
    <row r="2429" spans="13:14" x14ac:dyDescent="0.25">
      <c r="M2429" s="65" t="s">
        <v>4887</v>
      </c>
      <c r="N2429" s="65" t="s">
        <v>4888</v>
      </c>
    </row>
    <row r="2430" spans="13:14" x14ac:dyDescent="0.25">
      <c r="M2430" s="65" t="s">
        <v>4889</v>
      </c>
      <c r="N2430" s="65" t="s">
        <v>4890</v>
      </c>
    </row>
    <row r="2431" spans="13:14" x14ac:dyDescent="0.25">
      <c r="M2431" s="65" t="s">
        <v>4891</v>
      </c>
      <c r="N2431" s="65" t="s">
        <v>4892</v>
      </c>
    </row>
    <row r="2432" spans="13:14" x14ac:dyDescent="0.25">
      <c r="M2432" s="65" t="s">
        <v>4893</v>
      </c>
      <c r="N2432" s="65" t="s">
        <v>4894</v>
      </c>
    </row>
    <row r="2433" spans="13:14" x14ac:dyDescent="0.25">
      <c r="M2433" s="65" t="s">
        <v>4895</v>
      </c>
      <c r="N2433" s="65" t="s">
        <v>4896</v>
      </c>
    </row>
    <row r="2434" spans="13:14" x14ac:dyDescent="0.25">
      <c r="M2434" s="65" t="s">
        <v>4897</v>
      </c>
      <c r="N2434" s="65" t="s">
        <v>4898</v>
      </c>
    </row>
    <row r="2435" spans="13:14" x14ac:dyDescent="0.25">
      <c r="M2435" s="65" t="s">
        <v>4899</v>
      </c>
      <c r="N2435" s="65" t="s">
        <v>4900</v>
      </c>
    </row>
    <row r="2436" spans="13:14" x14ac:dyDescent="0.25">
      <c r="M2436" s="65" t="s">
        <v>4901</v>
      </c>
      <c r="N2436" s="65" t="s">
        <v>4902</v>
      </c>
    </row>
    <row r="2437" spans="13:14" x14ac:dyDescent="0.25">
      <c r="M2437" s="65" t="s">
        <v>4903</v>
      </c>
      <c r="N2437" s="65" t="s">
        <v>4904</v>
      </c>
    </row>
    <row r="2438" spans="13:14" x14ac:dyDescent="0.25">
      <c r="M2438" s="65" t="s">
        <v>4905</v>
      </c>
      <c r="N2438" s="65" t="s">
        <v>4906</v>
      </c>
    </row>
    <row r="2439" spans="13:14" x14ac:dyDescent="0.25">
      <c r="M2439" s="65" t="s">
        <v>4907</v>
      </c>
      <c r="N2439" s="65" t="s">
        <v>4908</v>
      </c>
    </row>
    <row r="2440" spans="13:14" x14ac:dyDescent="0.25">
      <c r="M2440" s="65" t="s">
        <v>4909</v>
      </c>
      <c r="N2440" s="65" t="s">
        <v>4910</v>
      </c>
    </row>
    <row r="2441" spans="13:14" x14ac:dyDescent="0.25">
      <c r="M2441" s="65" t="s">
        <v>4911</v>
      </c>
      <c r="N2441" s="65" t="s">
        <v>4912</v>
      </c>
    </row>
    <row r="2442" spans="13:14" x14ac:dyDescent="0.25">
      <c r="M2442" s="65" t="s">
        <v>4913</v>
      </c>
      <c r="N2442" s="65" t="s">
        <v>4914</v>
      </c>
    </row>
    <row r="2443" spans="13:14" x14ac:dyDescent="0.25">
      <c r="M2443" s="65" t="s">
        <v>4915</v>
      </c>
      <c r="N2443" s="65" t="s">
        <v>4916</v>
      </c>
    </row>
    <row r="2444" spans="13:14" x14ac:dyDescent="0.25">
      <c r="M2444" s="65" t="s">
        <v>4917</v>
      </c>
      <c r="N2444" s="65" t="s">
        <v>4918</v>
      </c>
    </row>
    <row r="2445" spans="13:14" x14ac:dyDescent="0.25">
      <c r="M2445" s="65" t="s">
        <v>4919</v>
      </c>
      <c r="N2445" s="65" t="s">
        <v>4920</v>
      </c>
    </row>
    <row r="2446" spans="13:14" x14ac:dyDescent="0.25">
      <c r="M2446" s="65" t="s">
        <v>4921</v>
      </c>
      <c r="N2446" s="65" t="s">
        <v>4922</v>
      </c>
    </row>
    <row r="2447" spans="13:14" x14ac:dyDescent="0.25">
      <c r="M2447" s="65" t="s">
        <v>4923</v>
      </c>
      <c r="N2447" s="65" t="s">
        <v>4924</v>
      </c>
    </row>
    <row r="2448" spans="13:14" x14ac:dyDescent="0.25">
      <c r="M2448" s="65" t="s">
        <v>4925</v>
      </c>
      <c r="N2448" s="65" t="s">
        <v>4926</v>
      </c>
    </row>
    <row r="2449" spans="13:14" x14ac:dyDescent="0.25">
      <c r="M2449" s="65" t="s">
        <v>4927</v>
      </c>
      <c r="N2449" s="65" t="s">
        <v>4928</v>
      </c>
    </row>
    <row r="2450" spans="13:14" x14ac:dyDescent="0.25">
      <c r="M2450" s="65" t="s">
        <v>4929</v>
      </c>
      <c r="N2450" s="65" t="s">
        <v>4930</v>
      </c>
    </row>
    <row r="2451" spans="13:14" x14ac:dyDescent="0.25">
      <c r="M2451" s="65" t="s">
        <v>4931</v>
      </c>
      <c r="N2451" s="65" t="s">
        <v>4932</v>
      </c>
    </row>
    <row r="2452" spans="13:14" x14ac:dyDescent="0.25">
      <c r="M2452" s="65" t="s">
        <v>4933</v>
      </c>
      <c r="N2452" s="65" t="s">
        <v>4934</v>
      </c>
    </row>
    <row r="2453" spans="13:14" x14ac:dyDescent="0.25">
      <c r="M2453" s="65" t="s">
        <v>4935</v>
      </c>
      <c r="N2453" s="65" t="s">
        <v>4936</v>
      </c>
    </row>
    <row r="2454" spans="13:14" x14ac:dyDescent="0.25">
      <c r="M2454" s="65" t="s">
        <v>4937</v>
      </c>
      <c r="N2454" s="65" t="s">
        <v>4938</v>
      </c>
    </row>
    <row r="2455" spans="13:14" x14ac:dyDescent="0.25">
      <c r="M2455" s="65" t="s">
        <v>4939</v>
      </c>
      <c r="N2455" s="65" t="s">
        <v>4940</v>
      </c>
    </row>
    <row r="2456" spans="13:14" x14ac:dyDescent="0.25">
      <c r="M2456" s="65" t="s">
        <v>4941</v>
      </c>
      <c r="N2456" s="65" t="s">
        <v>4942</v>
      </c>
    </row>
    <row r="2457" spans="13:14" x14ac:dyDescent="0.25">
      <c r="M2457" s="65" t="s">
        <v>4943</v>
      </c>
      <c r="N2457" s="65" t="s">
        <v>4944</v>
      </c>
    </row>
    <row r="2458" spans="13:14" x14ac:dyDescent="0.25">
      <c r="M2458" s="65" t="s">
        <v>4945</v>
      </c>
      <c r="N2458" s="65" t="s">
        <v>4946</v>
      </c>
    </row>
    <row r="2459" spans="13:14" x14ac:dyDescent="0.25">
      <c r="M2459" s="65" t="s">
        <v>4947</v>
      </c>
      <c r="N2459" s="65" t="s">
        <v>4948</v>
      </c>
    </row>
    <row r="2460" spans="13:14" x14ac:dyDescent="0.25">
      <c r="M2460" s="65" t="s">
        <v>4949</v>
      </c>
      <c r="N2460" s="65" t="s">
        <v>4950</v>
      </c>
    </row>
    <row r="2461" spans="13:14" x14ac:dyDescent="0.25">
      <c r="M2461" s="65" t="s">
        <v>4951</v>
      </c>
      <c r="N2461" s="65" t="s">
        <v>4952</v>
      </c>
    </row>
    <row r="2462" spans="13:14" x14ac:dyDescent="0.25">
      <c r="M2462" s="65" t="s">
        <v>4953</v>
      </c>
      <c r="N2462" s="65" t="s">
        <v>4954</v>
      </c>
    </row>
    <row r="2463" spans="13:14" x14ac:dyDescent="0.25">
      <c r="M2463" s="65" t="s">
        <v>4955</v>
      </c>
      <c r="N2463" s="65" t="s">
        <v>4956</v>
      </c>
    </row>
    <row r="2464" spans="13:14" x14ac:dyDescent="0.25">
      <c r="M2464" s="65" t="s">
        <v>4957</v>
      </c>
      <c r="N2464" s="65" t="s">
        <v>4958</v>
      </c>
    </row>
    <row r="2465" spans="13:14" x14ac:dyDescent="0.25">
      <c r="M2465" s="65" t="s">
        <v>4959</v>
      </c>
      <c r="N2465" s="65" t="s">
        <v>4960</v>
      </c>
    </row>
    <row r="2466" spans="13:14" x14ac:dyDescent="0.25">
      <c r="M2466" s="65" t="s">
        <v>4961</v>
      </c>
      <c r="N2466" s="65" t="s">
        <v>4962</v>
      </c>
    </row>
    <row r="2467" spans="13:14" x14ac:dyDescent="0.25">
      <c r="M2467" s="65" t="s">
        <v>4963</v>
      </c>
      <c r="N2467" s="65" t="s">
        <v>4964</v>
      </c>
    </row>
    <row r="2468" spans="13:14" x14ac:dyDescent="0.25">
      <c r="M2468" s="65" t="s">
        <v>4965</v>
      </c>
      <c r="N2468" s="65" t="s">
        <v>4966</v>
      </c>
    </row>
    <row r="2469" spans="13:14" x14ac:dyDescent="0.25">
      <c r="M2469" s="65" t="s">
        <v>4967</v>
      </c>
      <c r="N2469" s="65" t="s">
        <v>4968</v>
      </c>
    </row>
    <row r="2470" spans="13:14" x14ac:dyDescent="0.25">
      <c r="M2470" s="65" t="s">
        <v>4969</v>
      </c>
      <c r="N2470" s="65" t="s">
        <v>4970</v>
      </c>
    </row>
    <row r="2471" spans="13:14" x14ac:dyDescent="0.25">
      <c r="M2471" s="65" t="s">
        <v>4971</v>
      </c>
      <c r="N2471" s="65" t="s">
        <v>4972</v>
      </c>
    </row>
    <row r="2472" spans="13:14" x14ac:dyDescent="0.25">
      <c r="M2472" s="65" t="s">
        <v>4973</v>
      </c>
      <c r="N2472" s="65" t="s">
        <v>4974</v>
      </c>
    </row>
    <row r="2473" spans="13:14" x14ac:dyDescent="0.25">
      <c r="M2473" s="65" t="s">
        <v>4975</v>
      </c>
      <c r="N2473" s="65" t="s">
        <v>4976</v>
      </c>
    </row>
    <row r="2474" spans="13:14" x14ac:dyDescent="0.25">
      <c r="M2474" s="65" t="s">
        <v>4977</v>
      </c>
      <c r="N2474" s="65" t="s">
        <v>4978</v>
      </c>
    </row>
    <row r="2475" spans="13:14" x14ac:dyDescent="0.25">
      <c r="M2475" s="65" t="s">
        <v>4979</v>
      </c>
      <c r="N2475" s="65" t="s">
        <v>4980</v>
      </c>
    </row>
    <row r="2476" spans="13:14" x14ac:dyDescent="0.25">
      <c r="M2476" s="65" t="s">
        <v>4981</v>
      </c>
      <c r="N2476" s="65" t="s">
        <v>4982</v>
      </c>
    </row>
    <row r="2477" spans="13:14" x14ac:dyDescent="0.25">
      <c r="M2477" s="65" t="s">
        <v>4983</v>
      </c>
      <c r="N2477" s="65" t="s">
        <v>4984</v>
      </c>
    </row>
    <row r="2478" spans="13:14" x14ac:dyDescent="0.25">
      <c r="M2478" s="65" t="s">
        <v>4985</v>
      </c>
      <c r="N2478" s="65" t="s">
        <v>4986</v>
      </c>
    </row>
    <row r="2479" spans="13:14" x14ac:dyDescent="0.25">
      <c r="M2479" s="65" t="s">
        <v>4987</v>
      </c>
      <c r="N2479" s="65" t="s">
        <v>4988</v>
      </c>
    </row>
    <row r="2480" spans="13:14" x14ac:dyDescent="0.25">
      <c r="M2480" s="65" t="s">
        <v>4989</v>
      </c>
      <c r="N2480" s="65" t="s">
        <v>4990</v>
      </c>
    </row>
    <row r="2481" spans="13:14" x14ac:dyDescent="0.25">
      <c r="M2481" s="65" t="s">
        <v>4991</v>
      </c>
      <c r="N2481" s="65" t="s">
        <v>4992</v>
      </c>
    </row>
    <row r="2482" spans="13:14" x14ac:dyDescent="0.25">
      <c r="M2482" s="65" t="s">
        <v>4993</v>
      </c>
      <c r="N2482" s="65" t="s">
        <v>4994</v>
      </c>
    </row>
    <row r="2483" spans="13:14" x14ac:dyDescent="0.25">
      <c r="M2483" s="65" t="s">
        <v>4995</v>
      </c>
      <c r="N2483" s="65" t="s">
        <v>4996</v>
      </c>
    </row>
    <row r="2484" spans="13:14" x14ac:dyDescent="0.25">
      <c r="M2484" s="65" t="s">
        <v>4997</v>
      </c>
      <c r="N2484" s="65" t="s">
        <v>4998</v>
      </c>
    </row>
    <row r="2485" spans="13:14" x14ac:dyDescent="0.25">
      <c r="M2485" s="65" t="s">
        <v>4999</v>
      </c>
      <c r="N2485" s="65" t="s">
        <v>5000</v>
      </c>
    </row>
    <row r="2486" spans="13:14" x14ac:dyDescent="0.25">
      <c r="M2486" s="65" t="s">
        <v>5001</v>
      </c>
      <c r="N2486" s="65" t="s">
        <v>5002</v>
      </c>
    </row>
    <row r="2487" spans="13:14" x14ac:dyDescent="0.25">
      <c r="M2487" s="65" t="s">
        <v>5003</v>
      </c>
      <c r="N2487" s="65" t="s">
        <v>5004</v>
      </c>
    </row>
    <row r="2488" spans="13:14" x14ac:dyDescent="0.25">
      <c r="M2488" s="65" t="s">
        <v>5005</v>
      </c>
      <c r="N2488" s="65" t="s">
        <v>5006</v>
      </c>
    </row>
    <row r="2489" spans="13:14" x14ac:dyDescent="0.25">
      <c r="M2489" s="65" t="s">
        <v>5007</v>
      </c>
      <c r="N2489" s="65" t="s">
        <v>5008</v>
      </c>
    </row>
    <row r="2490" spans="13:14" x14ac:dyDescent="0.25">
      <c r="M2490" s="65" t="s">
        <v>5009</v>
      </c>
      <c r="N2490" s="65" t="s">
        <v>5010</v>
      </c>
    </row>
    <row r="2491" spans="13:14" x14ac:dyDescent="0.25">
      <c r="M2491" s="65" t="s">
        <v>5011</v>
      </c>
      <c r="N2491" s="65" t="s">
        <v>5012</v>
      </c>
    </row>
    <row r="2492" spans="13:14" x14ac:dyDescent="0.25">
      <c r="M2492" s="65" t="s">
        <v>5013</v>
      </c>
      <c r="N2492" s="65" t="s">
        <v>5014</v>
      </c>
    </row>
    <row r="2493" spans="13:14" x14ac:dyDescent="0.25">
      <c r="M2493" s="65" t="s">
        <v>5015</v>
      </c>
      <c r="N2493" s="65" t="s">
        <v>5016</v>
      </c>
    </row>
    <row r="2494" spans="13:14" x14ac:dyDescent="0.25">
      <c r="M2494" s="65" t="s">
        <v>5017</v>
      </c>
      <c r="N2494" s="65" t="s">
        <v>5018</v>
      </c>
    </row>
    <row r="2495" spans="13:14" x14ac:dyDescent="0.25">
      <c r="M2495" s="65" t="s">
        <v>5019</v>
      </c>
      <c r="N2495" s="65" t="s">
        <v>5020</v>
      </c>
    </row>
    <row r="2496" spans="13:14" x14ac:dyDescent="0.25">
      <c r="M2496" s="65" t="s">
        <v>5021</v>
      </c>
      <c r="N2496" s="65" t="s">
        <v>5022</v>
      </c>
    </row>
    <row r="2497" spans="13:14" x14ac:dyDescent="0.25">
      <c r="M2497" s="65" t="s">
        <v>5023</v>
      </c>
      <c r="N2497" s="65" t="s">
        <v>5024</v>
      </c>
    </row>
    <row r="2498" spans="13:14" x14ac:dyDescent="0.25">
      <c r="M2498" s="65" t="s">
        <v>5025</v>
      </c>
      <c r="N2498" s="65" t="s">
        <v>5026</v>
      </c>
    </row>
    <row r="2499" spans="13:14" x14ac:dyDescent="0.25">
      <c r="M2499" s="65" t="s">
        <v>5027</v>
      </c>
      <c r="N2499" s="65" t="s">
        <v>5028</v>
      </c>
    </row>
    <row r="2500" spans="13:14" x14ac:dyDescent="0.25">
      <c r="M2500" s="65" t="s">
        <v>5029</v>
      </c>
      <c r="N2500" s="65" t="s">
        <v>5030</v>
      </c>
    </row>
    <row r="2501" spans="13:14" x14ac:dyDescent="0.25">
      <c r="M2501" s="65" t="s">
        <v>5031</v>
      </c>
      <c r="N2501" s="65" t="s">
        <v>5032</v>
      </c>
    </row>
    <row r="2502" spans="13:14" x14ac:dyDescent="0.25">
      <c r="M2502" s="65" t="s">
        <v>5033</v>
      </c>
      <c r="N2502" s="65" t="s">
        <v>5034</v>
      </c>
    </row>
    <row r="2503" spans="13:14" x14ac:dyDescent="0.25">
      <c r="M2503" s="65" t="s">
        <v>5035</v>
      </c>
      <c r="N2503" s="65" t="s">
        <v>5036</v>
      </c>
    </row>
    <row r="2504" spans="13:14" x14ac:dyDescent="0.25">
      <c r="M2504" s="65" t="s">
        <v>5037</v>
      </c>
      <c r="N2504" s="65" t="s">
        <v>5038</v>
      </c>
    </row>
    <row r="2505" spans="13:14" x14ac:dyDescent="0.25">
      <c r="M2505" s="65" t="s">
        <v>5039</v>
      </c>
      <c r="N2505" s="65" t="s">
        <v>5040</v>
      </c>
    </row>
    <row r="2506" spans="13:14" x14ac:dyDescent="0.25">
      <c r="M2506" s="65" t="s">
        <v>5041</v>
      </c>
      <c r="N2506" s="65" t="s">
        <v>5042</v>
      </c>
    </row>
    <row r="2507" spans="13:14" x14ac:dyDescent="0.25">
      <c r="M2507" s="65" t="s">
        <v>5043</v>
      </c>
      <c r="N2507" s="65" t="s">
        <v>5044</v>
      </c>
    </row>
    <row r="2508" spans="13:14" x14ac:dyDescent="0.25">
      <c r="M2508" s="65" t="s">
        <v>5045</v>
      </c>
      <c r="N2508" s="65" t="s">
        <v>5046</v>
      </c>
    </row>
    <row r="2509" spans="13:14" x14ac:dyDescent="0.25">
      <c r="M2509" s="65" t="s">
        <v>5047</v>
      </c>
      <c r="N2509" s="65" t="s">
        <v>5048</v>
      </c>
    </row>
    <row r="2510" spans="13:14" x14ac:dyDescent="0.25">
      <c r="M2510" s="65" t="s">
        <v>5049</v>
      </c>
      <c r="N2510" s="65" t="s">
        <v>5050</v>
      </c>
    </row>
    <row r="2511" spans="13:14" x14ac:dyDescent="0.25">
      <c r="M2511" s="65" t="s">
        <v>5051</v>
      </c>
      <c r="N2511" s="65" t="s">
        <v>5052</v>
      </c>
    </row>
    <row r="2512" spans="13:14" x14ac:dyDescent="0.25">
      <c r="M2512" s="65" t="s">
        <v>5053</v>
      </c>
      <c r="N2512" s="65" t="s">
        <v>5054</v>
      </c>
    </row>
    <row r="2513" spans="13:14" x14ac:dyDescent="0.25">
      <c r="M2513" s="65" t="s">
        <v>5055</v>
      </c>
      <c r="N2513" s="65" t="s">
        <v>5056</v>
      </c>
    </row>
    <row r="2514" spans="13:14" x14ac:dyDescent="0.25">
      <c r="M2514" s="65" t="s">
        <v>5057</v>
      </c>
      <c r="N2514" s="65" t="s">
        <v>5058</v>
      </c>
    </row>
    <row r="2515" spans="13:14" x14ac:dyDescent="0.25">
      <c r="M2515" s="65" t="s">
        <v>5059</v>
      </c>
      <c r="N2515" s="65" t="s">
        <v>5060</v>
      </c>
    </row>
    <row r="2516" spans="13:14" x14ac:dyDescent="0.25">
      <c r="M2516" s="65" t="s">
        <v>5061</v>
      </c>
      <c r="N2516" s="65" t="s">
        <v>5062</v>
      </c>
    </row>
    <row r="2517" spans="13:14" x14ac:dyDescent="0.25">
      <c r="M2517" s="65" t="s">
        <v>5063</v>
      </c>
      <c r="N2517" s="65" t="s">
        <v>5064</v>
      </c>
    </row>
    <row r="2518" spans="13:14" x14ac:dyDescent="0.25">
      <c r="M2518" s="65" t="s">
        <v>5065</v>
      </c>
      <c r="N2518" s="65" t="s">
        <v>5066</v>
      </c>
    </row>
    <row r="2519" spans="13:14" x14ac:dyDescent="0.25">
      <c r="M2519" s="65" t="s">
        <v>5067</v>
      </c>
      <c r="N2519" s="65" t="s">
        <v>5068</v>
      </c>
    </row>
    <row r="2520" spans="13:14" x14ac:dyDescent="0.25">
      <c r="M2520" s="65" t="s">
        <v>5069</v>
      </c>
      <c r="N2520" s="65" t="s">
        <v>5070</v>
      </c>
    </row>
    <row r="2521" spans="13:14" x14ac:dyDescent="0.25">
      <c r="M2521" s="65" t="s">
        <v>5071</v>
      </c>
      <c r="N2521" s="65" t="s">
        <v>5072</v>
      </c>
    </row>
    <row r="2522" spans="13:14" x14ac:dyDescent="0.25">
      <c r="M2522" s="65" t="s">
        <v>5073</v>
      </c>
      <c r="N2522" s="65" t="s">
        <v>5074</v>
      </c>
    </row>
    <row r="2523" spans="13:14" x14ac:dyDescent="0.25">
      <c r="M2523" s="65" t="s">
        <v>5075</v>
      </c>
      <c r="N2523" s="65" t="s">
        <v>5076</v>
      </c>
    </row>
    <row r="2524" spans="13:14" x14ac:dyDescent="0.25">
      <c r="M2524" s="65" t="s">
        <v>5077</v>
      </c>
      <c r="N2524" s="65" t="s">
        <v>5078</v>
      </c>
    </row>
    <row r="2525" spans="13:14" x14ac:dyDescent="0.25">
      <c r="M2525" s="65" t="s">
        <v>5079</v>
      </c>
      <c r="N2525" s="65" t="s">
        <v>5080</v>
      </c>
    </row>
    <row r="2526" spans="13:14" x14ac:dyDescent="0.25">
      <c r="M2526" s="65" t="s">
        <v>5081</v>
      </c>
      <c r="N2526" s="65" t="s">
        <v>5082</v>
      </c>
    </row>
    <row r="2527" spans="13:14" x14ac:dyDescent="0.25">
      <c r="M2527" s="65" t="s">
        <v>5083</v>
      </c>
      <c r="N2527" s="65" t="s">
        <v>5084</v>
      </c>
    </row>
    <row r="2528" spans="13:14" x14ac:dyDescent="0.25">
      <c r="M2528" s="65" t="s">
        <v>5085</v>
      </c>
      <c r="N2528" s="65" t="s">
        <v>5086</v>
      </c>
    </row>
    <row r="2529" spans="13:14" x14ac:dyDescent="0.25">
      <c r="M2529" s="65" t="s">
        <v>5087</v>
      </c>
      <c r="N2529" s="65" t="s">
        <v>5088</v>
      </c>
    </row>
    <row r="2530" spans="13:14" x14ac:dyDescent="0.25">
      <c r="M2530" s="65" t="s">
        <v>5089</v>
      </c>
      <c r="N2530" s="65" t="s">
        <v>5090</v>
      </c>
    </row>
    <row r="2531" spans="13:14" x14ac:dyDescent="0.25">
      <c r="M2531" s="65" t="s">
        <v>5091</v>
      </c>
      <c r="N2531" s="65" t="s">
        <v>5092</v>
      </c>
    </row>
    <row r="2532" spans="13:14" x14ac:dyDescent="0.25">
      <c r="M2532" s="65" t="s">
        <v>5093</v>
      </c>
      <c r="N2532" s="65" t="s">
        <v>5094</v>
      </c>
    </row>
    <row r="2533" spans="13:14" x14ac:dyDescent="0.25">
      <c r="M2533" s="65" t="s">
        <v>5095</v>
      </c>
      <c r="N2533" s="65" t="s">
        <v>5096</v>
      </c>
    </row>
    <row r="2534" spans="13:14" x14ac:dyDescent="0.25">
      <c r="M2534" s="65" t="s">
        <v>5097</v>
      </c>
      <c r="N2534" s="65" t="s">
        <v>5098</v>
      </c>
    </row>
    <row r="2535" spans="13:14" x14ac:dyDescent="0.25">
      <c r="M2535" s="65" t="s">
        <v>5099</v>
      </c>
      <c r="N2535" s="65" t="s">
        <v>5100</v>
      </c>
    </row>
    <row r="2536" spans="13:14" x14ac:dyDescent="0.25">
      <c r="M2536" s="65" t="s">
        <v>5101</v>
      </c>
      <c r="N2536" s="65" t="s">
        <v>5102</v>
      </c>
    </row>
    <row r="2537" spans="13:14" x14ac:dyDescent="0.25">
      <c r="M2537" s="65" t="s">
        <v>5103</v>
      </c>
      <c r="N2537" s="65" t="s">
        <v>5104</v>
      </c>
    </row>
    <row r="2538" spans="13:14" x14ac:dyDescent="0.25">
      <c r="M2538" s="65" t="s">
        <v>5105</v>
      </c>
      <c r="N2538" s="65" t="s">
        <v>5106</v>
      </c>
    </row>
    <row r="2539" spans="13:14" x14ac:dyDescent="0.25">
      <c r="M2539" s="65" t="s">
        <v>5107</v>
      </c>
      <c r="N2539" s="65" t="s">
        <v>5108</v>
      </c>
    </row>
    <row r="2540" spans="13:14" x14ac:dyDescent="0.25">
      <c r="M2540" s="65" t="s">
        <v>5109</v>
      </c>
      <c r="N2540" s="65" t="s">
        <v>5110</v>
      </c>
    </row>
    <row r="2541" spans="13:14" x14ac:dyDescent="0.25">
      <c r="M2541" s="65" t="s">
        <v>5111</v>
      </c>
      <c r="N2541" s="65" t="s">
        <v>5112</v>
      </c>
    </row>
    <row r="2542" spans="13:14" x14ac:dyDescent="0.25">
      <c r="M2542" s="65" t="s">
        <v>5113</v>
      </c>
      <c r="N2542" s="65" t="s">
        <v>5114</v>
      </c>
    </row>
    <row r="2543" spans="13:14" x14ac:dyDescent="0.25">
      <c r="M2543" s="65" t="s">
        <v>5115</v>
      </c>
      <c r="N2543" s="65" t="s">
        <v>5116</v>
      </c>
    </row>
    <row r="2544" spans="13:14" x14ac:dyDescent="0.25">
      <c r="M2544" s="65" t="s">
        <v>5117</v>
      </c>
      <c r="N2544" s="65" t="s">
        <v>5118</v>
      </c>
    </row>
    <row r="2545" spans="13:14" x14ac:dyDescent="0.25">
      <c r="M2545" s="65" t="s">
        <v>5119</v>
      </c>
      <c r="N2545" s="65" t="s">
        <v>5120</v>
      </c>
    </row>
    <row r="2546" spans="13:14" x14ac:dyDescent="0.25">
      <c r="M2546" s="65" t="s">
        <v>5121</v>
      </c>
      <c r="N2546" s="65" t="s">
        <v>5122</v>
      </c>
    </row>
    <row r="2547" spans="13:14" x14ac:dyDescent="0.25">
      <c r="M2547" s="65" t="s">
        <v>5123</v>
      </c>
      <c r="N2547" s="65" t="s">
        <v>5124</v>
      </c>
    </row>
    <row r="2548" spans="13:14" x14ac:dyDescent="0.25">
      <c r="M2548" s="65" t="s">
        <v>5125</v>
      </c>
      <c r="N2548" s="65" t="s">
        <v>5126</v>
      </c>
    </row>
    <row r="2549" spans="13:14" x14ac:dyDescent="0.25">
      <c r="M2549" s="65" t="s">
        <v>5127</v>
      </c>
      <c r="N2549" s="65" t="s">
        <v>5128</v>
      </c>
    </row>
    <row r="2550" spans="13:14" x14ac:dyDescent="0.25">
      <c r="M2550" s="65" t="s">
        <v>5129</v>
      </c>
      <c r="N2550" s="65" t="s">
        <v>5130</v>
      </c>
    </row>
    <row r="2551" spans="13:14" x14ac:dyDescent="0.25">
      <c r="M2551" s="65" t="s">
        <v>5131</v>
      </c>
      <c r="N2551" s="65" t="s">
        <v>5132</v>
      </c>
    </row>
    <row r="2552" spans="13:14" x14ac:dyDescent="0.25">
      <c r="M2552" s="65" t="s">
        <v>5133</v>
      </c>
      <c r="N2552" s="65" t="s">
        <v>5134</v>
      </c>
    </row>
    <row r="2553" spans="13:14" x14ac:dyDescent="0.25">
      <c r="M2553" s="65" t="s">
        <v>5135</v>
      </c>
      <c r="N2553" s="65" t="s">
        <v>5136</v>
      </c>
    </row>
    <row r="2554" spans="13:14" x14ac:dyDescent="0.25">
      <c r="M2554" s="65" t="s">
        <v>5137</v>
      </c>
      <c r="N2554" s="65" t="s">
        <v>5138</v>
      </c>
    </row>
    <row r="2555" spans="13:14" x14ac:dyDescent="0.25">
      <c r="M2555" s="65" t="s">
        <v>5139</v>
      </c>
      <c r="N2555" s="65" t="s">
        <v>5140</v>
      </c>
    </row>
    <row r="2556" spans="13:14" x14ac:dyDescent="0.25">
      <c r="M2556" s="65" t="s">
        <v>5141</v>
      </c>
      <c r="N2556" s="65" t="s">
        <v>5142</v>
      </c>
    </row>
    <row r="2557" spans="13:14" x14ac:dyDescent="0.25">
      <c r="M2557" s="65" t="s">
        <v>5143</v>
      </c>
      <c r="N2557" s="65" t="s">
        <v>5144</v>
      </c>
    </row>
    <row r="2558" spans="13:14" x14ac:dyDescent="0.25">
      <c r="M2558" s="65" t="s">
        <v>5145</v>
      </c>
      <c r="N2558" s="65" t="s">
        <v>5146</v>
      </c>
    </row>
    <row r="2559" spans="13:14" x14ac:dyDescent="0.25">
      <c r="M2559" s="65" t="s">
        <v>5147</v>
      </c>
      <c r="N2559" s="65" t="s">
        <v>5148</v>
      </c>
    </row>
    <row r="2560" spans="13:14" x14ac:dyDescent="0.25">
      <c r="M2560" s="65" t="s">
        <v>5149</v>
      </c>
      <c r="N2560" s="65" t="s">
        <v>5150</v>
      </c>
    </row>
    <row r="2561" spans="13:14" x14ac:dyDescent="0.25">
      <c r="M2561" s="65" t="s">
        <v>5151</v>
      </c>
      <c r="N2561" s="65" t="s">
        <v>5152</v>
      </c>
    </row>
    <row r="2562" spans="13:14" x14ac:dyDescent="0.25">
      <c r="M2562" s="65" t="s">
        <v>5153</v>
      </c>
      <c r="N2562" s="65" t="s">
        <v>5154</v>
      </c>
    </row>
    <row r="2563" spans="13:14" x14ac:dyDescent="0.25">
      <c r="M2563" s="65" t="s">
        <v>5155</v>
      </c>
      <c r="N2563" s="65" t="s">
        <v>5156</v>
      </c>
    </row>
    <row r="2564" spans="13:14" x14ac:dyDescent="0.25">
      <c r="M2564" s="65" t="s">
        <v>5157</v>
      </c>
      <c r="N2564" s="65" t="s">
        <v>5158</v>
      </c>
    </row>
    <row r="2565" spans="13:14" x14ac:dyDescent="0.25">
      <c r="M2565" s="65" t="s">
        <v>5159</v>
      </c>
      <c r="N2565" s="65" t="s">
        <v>5160</v>
      </c>
    </row>
    <row r="2566" spans="13:14" x14ac:dyDescent="0.25">
      <c r="M2566" s="65" t="s">
        <v>5161</v>
      </c>
      <c r="N2566" s="65" t="s">
        <v>5162</v>
      </c>
    </row>
    <row r="2567" spans="13:14" x14ac:dyDescent="0.25">
      <c r="M2567" s="65" t="s">
        <v>5163</v>
      </c>
      <c r="N2567" s="65" t="s">
        <v>5164</v>
      </c>
    </row>
    <row r="2568" spans="13:14" x14ac:dyDescent="0.25">
      <c r="M2568" s="65" t="s">
        <v>5165</v>
      </c>
      <c r="N2568" s="65" t="s">
        <v>5166</v>
      </c>
    </row>
    <row r="2569" spans="13:14" x14ac:dyDescent="0.25">
      <c r="M2569" s="65" t="s">
        <v>5167</v>
      </c>
      <c r="N2569" s="65" t="s">
        <v>5168</v>
      </c>
    </row>
    <row r="2570" spans="13:14" x14ac:dyDescent="0.25">
      <c r="M2570" s="65" t="s">
        <v>5169</v>
      </c>
      <c r="N2570" s="65" t="s">
        <v>5170</v>
      </c>
    </row>
    <row r="2571" spans="13:14" x14ac:dyDescent="0.25">
      <c r="M2571" s="65" t="s">
        <v>5171</v>
      </c>
      <c r="N2571" s="65" t="s">
        <v>5172</v>
      </c>
    </row>
    <row r="2572" spans="13:14" x14ac:dyDescent="0.25">
      <c r="M2572" s="65" t="s">
        <v>5173</v>
      </c>
      <c r="N2572" s="65" t="s">
        <v>5174</v>
      </c>
    </row>
    <row r="2573" spans="13:14" x14ac:dyDescent="0.25">
      <c r="M2573" s="65" t="s">
        <v>5175</v>
      </c>
      <c r="N2573" s="65" t="s">
        <v>5176</v>
      </c>
    </row>
    <row r="2574" spans="13:14" x14ac:dyDescent="0.25">
      <c r="M2574" s="65" t="s">
        <v>5177</v>
      </c>
      <c r="N2574" s="65" t="s">
        <v>5178</v>
      </c>
    </row>
    <row r="2575" spans="13:14" x14ac:dyDescent="0.25">
      <c r="M2575" s="65" t="s">
        <v>5179</v>
      </c>
      <c r="N2575" s="65" t="s">
        <v>5180</v>
      </c>
    </row>
    <row r="2576" spans="13:14" x14ac:dyDescent="0.25">
      <c r="M2576" s="65" t="s">
        <v>5181</v>
      </c>
      <c r="N2576" s="65" t="s">
        <v>5182</v>
      </c>
    </row>
    <row r="2577" spans="13:14" x14ac:dyDescent="0.25">
      <c r="M2577" s="65" t="s">
        <v>5183</v>
      </c>
      <c r="N2577" s="65" t="s">
        <v>5184</v>
      </c>
    </row>
    <row r="2578" spans="13:14" x14ac:dyDescent="0.25">
      <c r="M2578" s="65" t="s">
        <v>5185</v>
      </c>
      <c r="N2578" s="65" t="s">
        <v>5186</v>
      </c>
    </row>
    <row r="2579" spans="13:14" x14ac:dyDescent="0.25">
      <c r="M2579" s="65" t="s">
        <v>5187</v>
      </c>
      <c r="N2579" s="65" t="s">
        <v>5188</v>
      </c>
    </row>
    <row r="2580" spans="13:14" x14ac:dyDescent="0.25">
      <c r="M2580" s="65" t="s">
        <v>5189</v>
      </c>
      <c r="N2580" s="65" t="s">
        <v>5190</v>
      </c>
    </row>
    <row r="2581" spans="13:14" x14ac:dyDescent="0.25">
      <c r="M2581" s="65" t="s">
        <v>5191</v>
      </c>
      <c r="N2581" s="65" t="s">
        <v>5192</v>
      </c>
    </row>
    <row r="2582" spans="13:14" x14ac:dyDescent="0.25">
      <c r="M2582" s="65" t="s">
        <v>5193</v>
      </c>
      <c r="N2582" s="65" t="s">
        <v>5194</v>
      </c>
    </row>
    <row r="2583" spans="13:14" x14ac:dyDescent="0.25">
      <c r="M2583" s="65" t="s">
        <v>5195</v>
      </c>
      <c r="N2583" s="65" t="s">
        <v>5196</v>
      </c>
    </row>
    <row r="2584" spans="13:14" x14ac:dyDescent="0.25">
      <c r="M2584" s="65" t="s">
        <v>5197</v>
      </c>
      <c r="N2584" s="65" t="s">
        <v>5198</v>
      </c>
    </row>
    <row r="2585" spans="13:14" x14ac:dyDescent="0.25">
      <c r="M2585" s="65" t="s">
        <v>5199</v>
      </c>
      <c r="N2585" s="65" t="s">
        <v>5200</v>
      </c>
    </row>
    <row r="2586" spans="13:14" x14ac:dyDescent="0.25">
      <c r="M2586" s="65" t="s">
        <v>5201</v>
      </c>
      <c r="N2586" s="65" t="s">
        <v>5202</v>
      </c>
    </row>
    <row r="2587" spans="13:14" x14ac:dyDescent="0.25">
      <c r="M2587" s="65" t="s">
        <v>5203</v>
      </c>
      <c r="N2587" s="65" t="s">
        <v>5204</v>
      </c>
    </row>
    <row r="2588" spans="13:14" x14ac:dyDescent="0.25">
      <c r="M2588" s="65" t="s">
        <v>5205</v>
      </c>
      <c r="N2588" s="65" t="s">
        <v>5206</v>
      </c>
    </row>
    <row r="2589" spans="13:14" x14ac:dyDescent="0.25">
      <c r="M2589" s="65" t="s">
        <v>5207</v>
      </c>
      <c r="N2589" s="65" t="s">
        <v>5208</v>
      </c>
    </row>
    <row r="2590" spans="13:14" x14ac:dyDescent="0.25">
      <c r="M2590" s="65" t="s">
        <v>5209</v>
      </c>
      <c r="N2590" s="65" t="s">
        <v>5210</v>
      </c>
    </row>
    <row r="2591" spans="13:14" x14ac:dyDescent="0.25">
      <c r="M2591" s="65" t="s">
        <v>5211</v>
      </c>
      <c r="N2591" s="65" t="s">
        <v>5212</v>
      </c>
    </row>
    <row r="2592" spans="13:14" x14ac:dyDescent="0.25">
      <c r="M2592" s="65" t="s">
        <v>5213</v>
      </c>
      <c r="N2592" s="65" t="s">
        <v>5214</v>
      </c>
    </row>
    <row r="2593" spans="13:14" x14ac:dyDescent="0.25">
      <c r="M2593" s="65" t="s">
        <v>5215</v>
      </c>
      <c r="N2593" s="65" t="s">
        <v>5216</v>
      </c>
    </row>
    <row r="2594" spans="13:14" x14ac:dyDescent="0.25">
      <c r="M2594" s="65" t="s">
        <v>5217</v>
      </c>
      <c r="N2594" s="65" t="s">
        <v>5218</v>
      </c>
    </row>
    <row r="2595" spans="13:14" x14ac:dyDescent="0.25">
      <c r="M2595" s="65" t="s">
        <v>5219</v>
      </c>
      <c r="N2595" s="65" t="s">
        <v>5220</v>
      </c>
    </row>
    <row r="2596" spans="13:14" x14ac:dyDescent="0.25">
      <c r="M2596" s="65" t="s">
        <v>5221</v>
      </c>
      <c r="N2596" s="65" t="s">
        <v>5222</v>
      </c>
    </row>
    <row r="2597" spans="13:14" x14ac:dyDescent="0.25">
      <c r="M2597" s="65" t="s">
        <v>5223</v>
      </c>
      <c r="N2597" s="65" t="s">
        <v>5224</v>
      </c>
    </row>
    <row r="2598" spans="13:14" x14ac:dyDescent="0.25">
      <c r="M2598" s="65" t="s">
        <v>5225</v>
      </c>
      <c r="N2598" s="65" t="s">
        <v>5226</v>
      </c>
    </row>
    <row r="2599" spans="13:14" x14ac:dyDescent="0.25">
      <c r="M2599" s="65" t="s">
        <v>5227</v>
      </c>
      <c r="N2599" s="65" t="s">
        <v>5228</v>
      </c>
    </row>
    <row r="2600" spans="13:14" x14ac:dyDescent="0.25">
      <c r="M2600" s="65" t="s">
        <v>5229</v>
      </c>
      <c r="N2600" s="65" t="s">
        <v>5230</v>
      </c>
    </row>
    <row r="2601" spans="13:14" x14ac:dyDescent="0.25">
      <c r="M2601" s="65" t="s">
        <v>5231</v>
      </c>
      <c r="N2601" s="65" t="s">
        <v>5232</v>
      </c>
    </row>
    <row r="2602" spans="13:14" x14ac:dyDescent="0.25">
      <c r="M2602" s="65" t="s">
        <v>5233</v>
      </c>
      <c r="N2602" s="65" t="s">
        <v>5234</v>
      </c>
    </row>
    <row r="2603" spans="13:14" x14ac:dyDescent="0.25">
      <c r="M2603" s="65" t="s">
        <v>5235</v>
      </c>
      <c r="N2603" s="65" t="s">
        <v>5236</v>
      </c>
    </row>
    <row r="2604" spans="13:14" x14ac:dyDescent="0.25">
      <c r="M2604" s="65" t="s">
        <v>5237</v>
      </c>
      <c r="N2604" s="65" t="s">
        <v>5238</v>
      </c>
    </row>
    <row r="2605" spans="13:14" x14ac:dyDescent="0.25">
      <c r="M2605" s="65" t="s">
        <v>5239</v>
      </c>
      <c r="N2605" s="65" t="s">
        <v>5240</v>
      </c>
    </row>
    <row r="2606" spans="13:14" x14ac:dyDescent="0.25">
      <c r="M2606" s="65" t="s">
        <v>5241</v>
      </c>
      <c r="N2606" s="65" t="s">
        <v>5242</v>
      </c>
    </row>
    <row r="2607" spans="13:14" x14ac:dyDescent="0.25">
      <c r="M2607" s="65" t="s">
        <v>5243</v>
      </c>
      <c r="N2607" s="65" t="s">
        <v>5244</v>
      </c>
    </row>
    <row r="2608" spans="13:14" x14ac:dyDescent="0.25">
      <c r="M2608" s="65" t="s">
        <v>5245</v>
      </c>
      <c r="N2608" s="65" t="s">
        <v>5246</v>
      </c>
    </row>
    <row r="2609" spans="13:14" x14ac:dyDescent="0.25">
      <c r="M2609" s="65" t="s">
        <v>5247</v>
      </c>
      <c r="N2609" s="65" t="s">
        <v>5248</v>
      </c>
    </row>
    <row r="2610" spans="13:14" x14ac:dyDescent="0.25">
      <c r="M2610" s="65" t="s">
        <v>5249</v>
      </c>
      <c r="N2610" s="65" t="s">
        <v>5250</v>
      </c>
    </row>
    <row r="2611" spans="13:14" x14ac:dyDescent="0.25">
      <c r="M2611" s="65" t="s">
        <v>5251</v>
      </c>
      <c r="N2611" s="65" t="s">
        <v>5252</v>
      </c>
    </row>
    <row r="2612" spans="13:14" x14ac:dyDescent="0.25">
      <c r="M2612" s="65" t="s">
        <v>5253</v>
      </c>
      <c r="N2612" s="65" t="s">
        <v>5254</v>
      </c>
    </row>
    <row r="2613" spans="13:14" x14ac:dyDescent="0.25">
      <c r="M2613" s="65" t="s">
        <v>5255</v>
      </c>
      <c r="N2613" s="65" t="s">
        <v>5256</v>
      </c>
    </row>
    <row r="2614" spans="13:14" x14ac:dyDescent="0.25">
      <c r="M2614" s="65" t="s">
        <v>5257</v>
      </c>
      <c r="N2614" s="65" t="s">
        <v>5258</v>
      </c>
    </row>
    <row r="2615" spans="13:14" x14ac:dyDescent="0.25">
      <c r="M2615" s="65" t="s">
        <v>5259</v>
      </c>
      <c r="N2615" s="65" t="s">
        <v>5260</v>
      </c>
    </row>
    <row r="2616" spans="13:14" x14ac:dyDescent="0.25">
      <c r="M2616" s="65" t="s">
        <v>5261</v>
      </c>
      <c r="N2616" s="65" t="s">
        <v>5262</v>
      </c>
    </row>
    <row r="2617" spans="13:14" x14ac:dyDescent="0.25">
      <c r="M2617" s="65" t="s">
        <v>5263</v>
      </c>
      <c r="N2617" s="65" t="s">
        <v>5264</v>
      </c>
    </row>
    <row r="2618" spans="13:14" x14ac:dyDescent="0.25">
      <c r="M2618" s="65" t="s">
        <v>5265</v>
      </c>
      <c r="N2618" s="65" t="s">
        <v>5266</v>
      </c>
    </row>
    <row r="2619" spans="13:14" x14ac:dyDescent="0.25">
      <c r="M2619" s="65" t="s">
        <v>5267</v>
      </c>
      <c r="N2619" s="65" t="s">
        <v>5268</v>
      </c>
    </row>
    <row r="2620" spans="13:14" x14ac:dyDescent="0.25">
      <c r="M2620" s="65" t="s">
        <v>5269</v>
      </c>
      <c r="N2620" s="65" t="s">
        <v>5270</v>
      </c>
    </row>
    <row r="2621" spans="13:14" x14ac:dyDescent="0.25">
      <c r="M2621" s="65" t="s">
        <v>5271</v>
      </c>
      <c r="N2621" s="65" t="s">
        <v>5272</v>
      </c>
    </row>
    <row r="2622" spans="13:14" x14ac:dyDescent="0.25">
      <c r="M2622" s="65" t="s">
        <v>5273</v>
      </c>
      <c r="N2622" s="65" t="s">
        <v>5274</v>
      </c>
    </row>
    <row r="2623" spans="13:14" x14ac:dyDescent="0.25">
      <c r="M2623" s="65" t="s">
        <v>5275</v>
      </c>
      <c r="N2623" s="65" t="s">
        <v>5276</v>
      </c>
    </row>
    <row r="2624" spans="13:14" x14ac:dyDescent="0.25">
      <c r="M2624" s="65" t="s">
        <v>5277</v>
      </c>
      <c r="N2624" s="65" t="s">
        <v>5278</v>
      </c>
    </row>
    <row r="2625" spans="13:14" x14ac:dyDescent="0.25">
      <c r="M2625" s="65" t="s">
        <v>5279</v>
      </c>
      <c r="N2625" s="65" t="s">
        <v>5280</v>
      </c>
    </row>
    <row r="2626" spans="13:14" x14ac:dyDescent="0.25">
      <c r="M2626" s="65" t="s">
        <v>5281</v>
      </c>
      <c r="N2626" s="65" t="s">
        <v>5282</v>
      </c>
    </row>
    <row r="2627" spans="13:14" x14ac:dyDescent="0.25">
      <c r="M2627" s="65" t="s">
        <v>5283</v>
      </c>
      <c r="N2627" s="65" t="s">
        <v>5284</v>
      </c>
    </row>
    <row r="2628" spans="13:14" x14ac:dyDescent="0.25">
      <c r="M2628" s="65" t="s">
        <v>5285</v>
      </c>
      <c r="N2628" s="65" t="s">
        <v>5286</v>
      </c>
    </row>
    <row r="2629" spans="13:14" x14ac:dyDescent="0.25">
      <c r="M2629" s="65" t="s">
        <v>5287</v>
      </c>
      <c r="N2629" s="65" t="s">
        <v>5288</v>
      </c>
    </row>
    <row r="2630" spans="13:14" x14ac:dyDescent="0.25">
      <c r="M2630" s="65" t="s">
        <v>5289</v>
      </c>
      <c r="N2630" s="65" t="s">
        <v>5290</v>
      </c>
    </row>
    <row r="2631" spans="13:14" x14ac:dyDescent="0.25">
      <c r="M2631" s="65" t="s">
        <v>5291</v>
      </c>
      <c r="N2631" s="65" t="s">
        <v>5292</v>
      </c>
    </row>
    <row r="2632" spans="13:14" x14ac:dyDescent="0.25">
      <c r="M2632" s="65" t="s">
        <v>5293</v>
      </c>
      <c r="N2632" s="65" t="s">
        <v>5294</v>
      </c>
    </row>
    <row r="2633" spans="13:14" x14ac:dyDescent="0.25">
      <c r="M2633" s="65" t="s">
        <v>5295</v>
      </c>
      <c r="N2633" s="65" t="s">
        <v>5296</v>
      </c>
    </row>
    <row r="2634" spans="13:14" x14ac:dyDescent="0.25">
      <c r="M2634" s="65" t="s">
        <v>5297</v>
      </c>
      <c r="N2634" s="65" t="s">
        <v>5298</v>
      </c>
    </row>
    <row r="2635" spans="13:14" x14ac:dyDescent="0.25">
      <c r="M2635" s="65" t="s">
        <v>5299</v>
      </c>
      <c r="N2635" s="65" t="s">
        <v>5300</v>
      </c>
    </row>
    <row r="2636" spans="13:14" x14ac:dyDescent="0.25">
      <c r="M2636" s="65" t="s">
        <v>5301</v>
      </c>
      <c r="N2636" s="65" t="s">
        <v>5302</v>
      </c>
    </row>
    <row r="2637" spans="13:14" x14ac:dyDescent="0.25">
      <c r="M2637" s="65" t="s">
        <v>5303</v>
      </c>
      <c r="N2637" s="65" t="s">
        <v>5304</v>
      </c>
    </row>
    <row r="2638" spans="13:14" x14ac:dyDescent="0.25">
      <c r="M2638" s="65" t="s">
        <v>5305</v>
      </c>
      <c r="N2638" s="65" t="s">
        <v>5306</v>
      </c>
    </row>
    <row r="2639" spans="13:14" x14ac:dyDescent="0.25">
      <c r="M2639" s="65" t="s">
        <v>5307</v>
      </c>
      <c r="N2639" s="65" t="s">
        <v>5308</v>
      </c>
    </row>
    <row r="2640" spans="13:14" x14ac:dyDescent="0.25">
      <c r="M2640" s="65" t="s">
        <v>5309</v>
      </c>
      <c r="N2640" s="65" t="s">
        <v>5310</v>
      </c>
    </row>
    <row r="2641" spans="13:14" x14ac:dyDescent="0.25">
      <c r="M2641" s="65" t="s">
        <v>5311</v>
      </c>
      <c r="N2641" s="65" t="s">
        <v>5312</v>
      </c>
    </row>
    <row r="2642" spans="13:14" x14ac:dyDescent="0.25">
      <c r="M2642" s="65" t="s">
        <v>5313</v>
      </c>
      <c r="N2642" s="65" t="s">
        <v>5314</v>
      </c>
    </row>
    <row r="2643" spans="13:14" x14ac:dyDescent="0.25">
      <c r="M2643" s="65" t="s">
        <v>5315</v>
      </c>
      <c r="N2643" s="65" t="s">
        <v>5316</v>
      </c>
    </row>
    <row r="2644" spans="13:14" x14ac:dyDescent="0.25">
      <c r="M2644" s="65" t="s">
        <v>5317</v>
      </c>
      <c r="N2644" s="65" t="s">
        <v>5318</v>
      </c>
    </row>
    <row r="2645" spans="13:14" x14ac:dyDescent="0.25">
      <c r="M2645" s="65" t="s">
        <v>5319</v>
      </c>
      <c r="N2645" s="65" t="s">
        <v>5320</v>
      </c>
    </row>
    <row r="2646" spans="13:14" x14ac:dyDescent="0.25">
      <c r="M2646" s="65" t="s">
        <v>5321</v>
      </c>
      <c r="N2646" s="65" t="s">
        <v>5322</v>
      </c>
    </row>
    <row r="2647" spans="13:14" x14ac:dyDescent="0.25">
      <c r="M2647" s="65" t="s">
        <v>5323</v>
      </c>
      <c r="N2647" s="65" t="s">
        <v>5324</v>
      </c>
    </row>
    <row r="2648" spans="13:14" x14ac:dyDescent="0.25">
      <c r="M2648" s="65" t="s">
        <v>5325</v>
      </c>
      <c r="N2648" s="65" t="s">
        <v>5326</v>
      </c>
    </row>
    <row r="2649" spans="13:14" x14ac:dyDescent="0.25">
      <c r="M2649" s="65" t="s">
        <v>5327</v>
      </c>
      <c r="N2649" s="65" t="s">
        <v>5328</v>
      </c>
    </row>
    <row r="2650" spans="13:14" x14ac:dyDescent="0.25">
      <c r="M2650" s="65" t="s">
        <v>5329</v>
      </c>
      <c r="N2650" s="65" t="s">
        <v>5330</v>
      </c>
    </row>
    <row r="2651" spans="13:14" x14ac:dyDescent="0.25">
      <c r="M2651" s="65" t="s">
        <v>5331</v>
      </c>
      <c r="N2651" s="65" t="s">
        <v>5332</v>
      </c>
    </row>
    <row r="2652" spans="13:14" x14ac:dyDescent="0.25">
      <c r="M2652" s="65" t="s">
        <v>5333</v>
      </c>
      <c r="N2652" s="65" t="s">
        <v>5334</v>
      </c>
    </row>
    <row r="2653" spans="13:14" x14ac:dyDescent="0.25">
      <c r="M2653" s="65" t="s">
        <v>5335</v>
      </c>
      <c r="N2653" s="65" t="s">
        <v>5336</v>
      </c>
    </row>
    <row r="2654" spans="13:14" x14ac:dyDescent="0.25">
      <c r="M2654" s="65" t="s">
        <v>5337</v>
      </c>
      <c r="N2654" s="65" t="s">
        <v>5338</v>
      </c>
    </row>
    <row r="2655" spans="13:14" x14ac:dyDescent="0.25">
      <c r="M2655" s="65" t="s">
        <v>5339</v>
      </c>
      <c r="N2655" s="65" t="s">
        <v>5340</v>
      </c>
    </row>
    <row r="2656" spans="13:14" x14ac:dyDescent="0.25">
      <c r="M2656" s="65" t="s">
        <v>5341</v>
      </c>
      <c r="N2656" s="65" t="s">
        <v>5342</v>
      </c>
    </row>
    <row r="2657" spans="13:14" x14ac:dyDescent="0.25">
      <c r="M2657" s="65" t="s">
        <v>5343</v>
      </c>
      <c r="N2657" s="65" t="s">
        <v>5344</v>
      </c>
    </row>
    <row r="2658" spans="13:14" x14ac:dyDescent="0.25">
      <c r="M2658" s="65" t="s">
        <v>5345</v>
      </c>
      <c r="N2658" s="65" t="s">
        <v>5346</v>
      </c>
    </row>
    <row r="2659" spans="13:14" x14ac:dyDescent="0.25">
      <c r="M2659" s="65" t="s">
        <v>5347</v>
      </c>
      <c r="N2659" s="65" t="s">
        <v>5348</v>
      </c>
    </row>
    <row r="2660" spans="13:14" x14ac:dyDescent="0.25">
      <c r="M2660" s="65" t="s">
        <v>5349</v>
      </c>
      <c r="N2660" s="65" t="s">
        <v>5350</v>
      </c>
    </row>
    <row r="2661" spans="13:14" x14ac:dyDescent="0.25">
      <c r="M2661" s="65" t="s">
        <v>5351</v>
      </c>
      <c r="N2661" s="65" t="s">
        <v>5352</v>
      </c>
    </row>
    <row r="2662" spans="13:14" x14ac:dyDescent="0.25">
      <c r="M2662" s="65" t="s">
        <v>5353</v>
      </c>
      <c r="N2662" s="65" t="s">
        <v>5354</v>
      </c>
    </row>
    <row r="2663" spans="13:14" x14ac:dyDescent="0.25">
      <c r="M2663" s="65" t="s">
        <v>5355</v>
      </c>
      <c r="N2663" s="65" t="s">
        <v>5356</v>
      </c>
    </row>
    <row r="2664" spans="13:14" x14ac:dyDescent="0.25">
      <c r="M2664" s="65" t="s">
        <v>5357</v>
      </c>
      <c r="N2664" s="65" t="s">
        <v>5358</v>
      </c>
    </row>
    <row r="2665" spans="13:14" x14ac:dyDescent="0.25">
      <c r="M2665" s="65" t="s">
        <v>5359</v>
      </c>
      <c r="N2665" s="65" t="s">
        <v>5360</v>
      </c>
    </row>
    <row r="2666" spans="13:14" x14ac:dyDescent="0.25">
      <c r="M2666" s="65" t="s">
        <v>5361</v>
      </c>
      <c r="N2666" s="65" t="s">
        <v>5362</v>
      </c>
    </row>
    <row r="2667" spans="13:14" x14ac:dyDescent="0.25">
      <c r="M2667" s="65" t="s">
        <v>5363</v>
      </c>
      <c r="N2667" s="65" t="s">
        <v>5364</v>
      </c>
    </row>
    <row r="2668" spans="13:14" x14ac:dyDescent="0.25">
      <c r="M2668" s="65" t="s">
        <v>5365</v>
      </c>
      <c r="N2668" s="65" t="s">
        <v>5366</v>
      </c>
    </row>
    <row r="2669" spans="13:14" x14ac:dyDescent="0.25">
      <c r="M2669" s="65" t="s">
        <v>5367</v>
      </c>
      <c r="N2669" s="65" t="s">
        <v>5368</v>
      </c>
    </row>
    <row r="2670" spans="13:14" x14ac:dyDescent="0.25">
      <c r="M2670" s="65" t="s">
        <v>5369</v>
      </c>
      <c r="N2670" s="65" t="s">
        <v>5370</v>
      </c>
    </row>
    <row r="2671" spans="13:14" x14ac:dyDescent="0.25">
      <c r="M2671" s="65" t="s">
        <v>5371</v>
      </c>
      <c r="N2671" s="65" t="s">
        <v>5372</v>
      </c>
    </row>
    <row r="2672" spans="13:14" x14ac:dyDescent="0.25">
      <c r="M2672" s="65" t="s">
        <v>5373</v>
      </c>
      <c r="N2672" s="65" t="s">
        <v>5374</v>
      </c>
    </row>
    <row r="2673" spans="13:14" x14ac:dyDescent="0.25">
      <c r="M2673" s="65" t="s">
        <v>5375</v>
      </c>
      <c r="N2673" s="65" t="s">
        <v>5376</v>
      </c>
    </row>
    <row r="2674" spans="13:14" x14ac:dyDescent="0.25">
      <c r="M2674" s="65" t="s">
        <v>5377</v>
      </c>
      <c r="N2674" s="65" t="s">
        <v>5378</v>
      </c>
    </row>
    <row r="2675" spans="13:14" x14ac:dyDescent="0.25">
      <c r="M2675" s="65" t="s">
        <v>5379</v>
      </c>
      <c r="N2675" s="65" t="s">
        <v>5380</v>
      </c>
    </row>
    <row r="2676" spans="13:14" x14ac:dyDescent="0.25">
      <c r="M2676" s="65" t="s">
        <v>5381</v>
      </c>
      <c r="N2676" s="65" t="s">
        <v>5382</v>
      </c>
    </row>
    <row r="2677" spans="13:14" x14ac:dyDescent="0.25">
      <c r="M2677" s="65" t="s">
        <v>5383</v>
      </c>
      <c r="N2677" s="65" t="s">
        <v>5384</v>
      </c>
    </row>
    <row r="2678" spans="13:14" x14ac:dyDescent="0.25">
      <c r="M2678" s="65" t="s">
        <v>5385</v>
      </c>
      <c r="N2678" s="65" t="s">
        <v>5386</v>
      </c>
    </row>
    <row r="2679" spans="13:14" x14ac:dyDescent="0.25">
      <c r="M2679" s="65" t="s">
        <v>5387</v>
      </c>
      <c r="N2679" s="65" t="s">
        <v>5388</v>
      </c>
    </row>
    <row r="2680" spans="13:14" x14ac:dyDescent="0.25">
      <c r="M2680" s="65" t="s">
        <v>5389</v>
      </c>
      <c r="N2680" s="65" t="s">
        <v>5390</v>
      </c>
    </row>
    <row r="2681" spans="13:14" x14ac:dyDescent="0.25">
      <c r="M2681" s="65" t="s">
        <v>5391</v>
      </c>
      <c r="N2681" s="65" t="s">
        <v>5392</v>
      </c>
    </row>
    <row r="2682" spans="13:14" x14ac:dyDescent="0.25">
      <c r="M2682" s="65" t="s">
        <v>5393</v>
      </c>
      <c r="N2682" s="65" t="s">
        <v>5394</v>
      </c>
    </row>
    <row r="2683" spans="13:14" x14ac:dyDescent="0.25">
      <c r="M2683" s="65" t="s">
        <v>5395</v>
      </c>
      <c r="N2683" s="65" t="s">
        <v>5396</v>
      </c>
    </row>
    <row r="2684" spans="13:14" x14ac:dyDescent="0.25">
      <c r="M2684" s="65" t="s">
        <v>5397</v>
      </c>
      <c r="N2684" s="65" t="s">
        <v>5398</v>
      </c>
    </row>
    <row r="2685" spans="13:14" x14ac:dyDescent="0.25">
      <c r="M2685" s="65" t="s">
        <v>5399</v>
      </c>
      <c r="N2685" s="65" t="s">
        <v>5400</v>
      </c>
    </row>
    <row r="2686" spans="13:14" x14ac:dyDescent="0.25">
      <c r="M2686" s="65" t="s">
        <v>5401</v>
      </c>
      <c r="N2686" s="65" t="s">
        <v>5402</v>
      </c>
    </row>
    <row r="2687" spans="13:14" x14ac:dyDescent="0.25">
      <c r="M2687" s="65" t="s">
        <v>5403</v>
      </c>
      <c r="N2687" s="65" t="s">
        <v>5404</v>
      </c>
    </row>
    <row r="2688" spans="13:14" x14ac:dyDescent="0.25">
      <c r="M2688" s="65" t="s">
        <v>5405</v>
      </c>
      <c r="N2688" s="65" t="s">
        <v>5406</v>
      </c>
    </row>
    <row r="2689" spans="13:14" x14ac:dyDescent="0.25">
      <c r="M2689" s="65" t="s">
        <v>5407</v>
      </c>
      <c r="N2689" s="65" t="s">
        <v>5408</v>
      </c>
    </row>
    <row r="2690" spans="13:14" x14ac:dyDescent="0.25">
      <c r="M2690" s="65" t="s">
        <v>5409</v>
      </c>
      <c r="N2690" s="65" t="s">
        <v>5410</v>
      </c>
    </row>
    <row r="2691" spans="13:14" x14ac:dyDescent="0.25">
      <c r="M2691" s="65" t="s">
        <v>5411</v>
      </c>
      <c r="N2691" s="65" t="s">
        <v>5412</v>
      </c>
    </row>
    <row r="2692" spans="13:14" x14ac:dyDescent="0.25">
      <c r="M2692" s="65" t="s">
        <v>5413</v>
      </c>
      <c r="N2692" s="65" t="s">
        <v>5414</v>
      </c>
    </row>
    <row r="2693" spans="13:14" x14ac:dyDescent="0.25">
      <c r="M2693" s="65" t="s">
        <v>5415</v>
      </c>
      <c r="N2693" s="65" t="s">
        <v>5416</v>
      </c>
    </row>
    <row r="2694" spans="13:14" x14ac:dyDescent="0.25">
      <c r="M2694" s="65" t="s">
        <v>5417</v>
      </c>
      <c r="N2694" s="65" t="s">
        <v>5418</v>
      </c>
    </row>
    <row r="2695" spans="13:14" x14ac:dyDescent="0.25">
      <c r="M2695" s="65" t="s">
        <v>5419</v>
      </c>
      <c r="N2695" s="65" t="s">
        <v>5420</v>
      </c>
    </row>
    <row r="2696" spans="13:14" x14ac:dyDescent="0.25">
      <c r="M2696" s="65" t="s">
        <v>5421</v>
      </c>
      <c r="N2696" s="65" t="s">
        <v>5422</v>
      </c>
    </row>
    <row r="2697" spans="13:14" x14ac:dyDescent="0.25">
      <c r="M2697" s="65" t="s">
        <v>5423</v>
      </c>
      <c r="N2697" s="65" t="s">
        <v>5424</v>
      </c>
    </row>
    <row r="2698" spans="13:14" x14ac:dyDescent="0.25">
      <c r="M2698" s="65" t="s">
        <v>5425</v>
      </c>
      <c r="N2698" s="65" t="s">
        <v>5426</v>
      </c>
    </row>
    <row r="2699" spans="13:14" x14ac:dyDescent="0.25">
      <c r="M2699" s="65" t="s">
        <v>5427</v>
      </c>
      <c r="N2699" s="65" t="s">
        <v>5428</v>
      </c>
    </row>
    <row r="2700" spans="13:14" x14ac:dyDescent="0.25">
      <c r="M2700" s="65" t="s">
        <v>5429</v>
      </c>
      <c r="N2700" s="65" t="s">
        <v>5430</v>
      </c>
    </row>
    <row r="2701" spans="13:14" x14ac:dyDescent="0.25">
      <c r="M2701" s="65" t="s">
        <v>5431</v>
      </c>
      <c r="N2701" s="65" t="s">
        <v>5432</v>
      </c>
    </row>
    <row r="2702" spans="13:14" x14ac:dyDescent="0.25">
      <c r="M2702" s="65" t="s">
        <v>5433</v>
      </c>
      <c r="N2702" s="65" t="s">
        <v>5434</v>
      </c>
    </row>
    <row r="2703" spans="13:14" x14ac:dyDescent="0.25">
      <c r="M2703" s="65" t="s">
        <v>5435</v>
      </c>
      <c r="N2703" s="65" t="s">
        <v>5436</v>
      </c>
    </row>
    <row r="2704" spans="13:14" x14ac:dyDescent="0.25">
      <c r="M2704" s="65" t="s">
        <v>5437</v>
      </c>
      <c r="N2704" s="65" t="s">
        <v>5438</v>
      </c>
    </row>
    <row r="2705" spans="13:14" x14ac:dyDescent="0.25">
      <c r="M2705" s="65" t="s">
        <v>5439</v>
      </c>
      <c r="N2705" s="65" t="s">
        <v>5440</v>
      </c>
    </row>
    <row r="2706" spans="13:14" x14ac:dyDescent="0.25">
      <c r="M2706" s="65" t="s">
        <v>5441</v>
      </c>
      <c r="N2706" s="65" t="s">
        <v>5442</v>
      </c>
    </row>
    <row r="2707" spans="13:14" x14ac:dyDescent="0.25">
      <c r="M2707" s="65" t="s">
        <v>5443</v>
      </c>
      <c r="N2707" s="65" t="s">
        <v>5444</v>
      </c>
    </row>
    <row r="2708" spans="13:14" x14ac:dyDescent="0.25">
      <c r="M2708" s="65" t="s">
        <v>5445</v>
      </c>
      <c r="N2708" s="65" t="s">
        <v>5446</v>
      </c>
    </row>
    <row r="2709" spans="13:14" x14ac:dyDescent="0.25">
      <c r="M2709" s="65" t="s">
        <v>5447</v>
      </c>
      <c r="N2709" s="65" t="s">
        <v>5448</v>
      </c>
    </row>
    <row r="2710" spans="13:14" x14ac:dyDescent="0.25">
      <c r="M2710" s="65" t="s">
        <v>5449</v>
      </c>
      <c r="N2710" s="65" t="s">
        <v>5450</v>
      </c>
    </row>
    <row r="2711" spans="13:14" x14ac:dyDescent="0.25">
      <c r="M2711" s="65" t="s">
        <v>5451</v>
      </c>
      <c r="N2711" s="65" t="s">
        <v>5452</v>
      </c>
    </row>
    <row r="2712" spans="13:14" x14ac:dyDescent="0.25">
      <c r="M2712" s="65" t="s">
        <v>5453</v>
      </c>
      <c r="N2712" s="65" t="s">
        <v>5454</v>
      </c>
    </row>
    <row r="2713" spans="13:14" x14ac:dyDescent="0.25">
      <c r="M2713" s="65" t="s">
        <v>5455</v>
      </c>
      <c r="N2713" s="65" t="s">
        <v>5456</v>
      </c>
    </row>
    <row r="2714" spans="13:14" x14ac:dyDescent="0.25">
      <c r="M2714" s="65" t="s">
        <v>5457</v>
      </c>
      <c r="N2714" s="65" t="s">
        <v>5458</v>
      </c>
    </row>
    <row r="2715" spans="13:14" x14ac:dyDescent="0.25">
      <c r="M2715" s="65" t="s">
        <v>5459</v>
      </c>
      <c r="N2715" s="65" t="s">
        <v>5460</v>
      </c>
    </row>
    <row r="2716" spans="13:14" x14ac:dyDescent="0.25">
      <c r="M2716" s="65" t="s">
        <v>5461</v>
      </c>
      <c r="N2716" s="65" t="s">
        <v>5462</v>
      </c>
    </row>
    <row r="2717" spans="13:14" x14ac:dyDescent="0.25">
      <c r="M2717" s="65" t="s">
        <v>5463</v>
      </c>
      <c r="N2717" s="65" t="s">
        <v>5464</v>
      </c>
    </row>
    <row r="2718" spans="13:14" x14ac:dyDescent="0.25">
      <c r="M2718" s="65" t="s">
        <v>5465</v>
      </c>
      <c r="N2718" s="65" t="s">
        <v>5466</v>
      </c>
    </row>
    <row r="2719" spans="13:14" x14ac:dyDescent="0.25">
      <c r="M2719" s="65" t="s">
        <v>5467</v>
      </c>
      <c r="N2719" s="65" t="s">
        <v>5468</v>
      </c>
    </row>
    <row r="2720" spans="13:14" x14ac:dyDescent="0.25">
      <c r="M2720" s="65" t="s">
        <v>5469</v>
      </c>
      <c r="N2720" s="65" t="s">
        <v>5470</v>
      </c>
    </row>
    <row r="2721" spans="13:14" x14ac:dyDescent="0.25">
      <c r="M2721" s="65" t="s">
        <v>5471</v>
      </c>
      <c r="N2721" s="65" t="s">
        <v>5472</v>
      </c>
    </row>
    <row r="2722" spans="13:14" x14ac:dyDescent="0.25">
      <c r="M2722" s="65" t="s">
        <v>5473</v>
      </c>
      <c r="N2722" s="65" t="s">
        <v>5474</v>
      </c>
    </row>
    <row r="2723" spans="13:14" x14ac:dyDescent="0.25">
      <c r="M2723" s="65" t="s">
        <v>5475</v>
      </c>
      <c r="N2723" s="65" t="s">
        <v>5476</v>
      </c>
    </row>
    <row r="2724" spans="13:14" x14ac:dyDescent="0.25">
      <c r="M2724" s="65" t="s">
        <v>5477</v>
      </c>
      <c r="N2724" s="65" t="s">
        <v>5478</v>
      </c>
    </row>
    <row r="2725" spans="13:14" x14ac:dyDescent="0.25">
      <c r="M2725" s="65" t="s">
        <v>5479</v>
      </c>
      <c r="N2725" s="65" t="s">
        <v>5480</v>
      </c>
    </row>
    <row r="2726" spans="13:14" x14ac:dyDescent="0.25">
      <c r="M2726" s="65" t="s">
        <v>5481</v>
      </c>
      <c r="N2726" s="65" t="s">
        <v>5482</v>
      </c>
    </row>
    <row r="2727" spans="13:14" x14ac:dyDescent="0.25">
      <c r="M2727" s="65" t="s">
        <v>5483</v>
      </c>
      <c r="N2727" s="65" t="s">
        <v>5484</v>
      </c>
    </row>
    <row r="2728" spans="13:14" x14ac:dyDescent="0.25">
      <c r="M2728" s="65" t="s">
        <v>5485</v>
      </c>
      <c r="N2728" s="65" t="s">
        <v>5486</v>
      </c>
    </row>
    <row r="2729" spans="13:14" x14ac:dyDescent="0.25">
      <c r="M2729" s="65" t="s">
        <v>5487</v>
      </c>
      <c r="N2729" s="65" t="s">
        <v>5488</v>
      </c>
    </row>
    <row r="2730" spans="13:14" x14ac:dyDescent="0.25">
      <c r="M2730" s="65" t="s">
        <v>5489</v>
      </c>
      <c r="N2730" s="65" t="s">
        <v>5490</v>
      </c>
    </row>
    <row r="2731" spans="13:14" x14ac:dyDescent="0.25">
      <c r="M2731" s="65" t="s">
        <v>5491</v>
      </c>
      <c r="N2731" s="65" t="s">
        <v>5492</v>
      </c>
    </row>
    <row r="2732" spans="13:14" x14ac:dyDescent="0.25">
      <c r="M2732" s="65" t="s">
        <v>5493</v>
      </c>
      <c r="N2732" s="65" t="s">
        <v>5494</v>
      </c>
    </row>
    <row r="2733" spans="13:14" x14ac:dyDescent="0.25">
      <c r="M2733" s="65" t="s">
        <v>5495</v>
      </c>
      <c r="N2733" s="65" t="s">
        <v>5496</v>
      </c>
    </row>
    <row r="2734" spans="13:14" x14ac:dyDescent="0.25">
      <c r="M2734" s="65" t="s">
        <v>5497</v>
      </c>
      <c r="N2734" s="65" t="s">
        <v>5498</v>
      </c>
    </row>
    <row r="2735" spans="13:14" x14ac:dyDescent="0.25">
      <c r="M2735" s="65" t="s">
        <v>5499</v>
      </c>
      <c r="N2735" s="65" t="s">
        <v>5500</v>
      </c>
    </row>
    <row r="2736" spans="13:14" x14ac:dyDescent="0.25">
      <c r="M2736" s="65" t="s">
        <v>5501</v>
      </c>
      <c r="N2736" s="65" t="s">
        <v>5502</v>
      </c>
    </row>
    <row r="2737" spans="13:14" x14ac:dyDescent="0.25">
      <c r="M2737" s="65" t="s">
        <v>5503</v>
      </c>
      <c r="N2737" s="65" t="s">
        <v>5504</v>
      </c>
    </row>
    <row r="2738" spans="13:14" x14ac:dyDescent="0.25">
      <c r="M2738" s="65" t="s">
        <v>5505</v>
      </c>
      <c r="N2738" s="65" t="s">
        <v>5506</v>
      </c>
    </row>
    <row r="2739" spans="13:14" x14ac:dyDescent="0.25">
      <c r="M2739" s="65" t="s">
        <v>5507</v>
      </c>
      <c r="N2739" s="65" t="s">
        <v>5508</v>
      </c>
    </row>
    <row r="2740" spans="13:14" x14ac:dyDescent="0.25">
      <c r="M2740" s="65" t="s">
        <v>5509</v>
      </c>
      <c r="N2740" s="65" t="s">
        <v>5510</v>
      </c>
    </row>
    <row r="2741" spans="13:14" x14ac:dyDescent="0.25">
      <c r="M2741" s="65" t="s">
        <v>5511</v>
      </c>
      <c r="N2741" s="65" t="s">
        <v>5512</v>
      </c>
    </row>
    <row r="2742" spans="13:14" x14ac:dyDescent="0.25">
      <c r="M2742" s="65" t="s">
        <v>5513</v>
      </c>
      <c r="N2742" s="65" t="s">
        <v>5514</v>
      </c>
    </row>
    <row r="2743" spans="13:14" x14ac:dyDescent="0.25">
      <c r="M2743" s="65" t="s">
        <v>5515</v>
      </c>
      <c r="N2743" s="65" t="s">
        <v>5516</v>
      </c>
    </row>
    <row r="2744" spans="13:14" x14ac:dyDescent="0.25">
      <c r="M2744" s="65" t="s">
        <v>5517</v>
      </c>
      <c r="N2744" s="65" t="s">
        <v>5518</v>
      </c>
    </row>
    <row r="2745" spans="13:14" x14ac:dyDescent="0.25">
      <c r="M2745" s="65" t="s">
        <v>5519</v>
      </c>
      <c r="N2745" s="65" t="s">
        <v>5520</v>
      </c>
    </row>
    <row r="2746" spans="13:14" x14ac:dyDescent="0.25">
      <c r="M2746" s="65" t="s">
        <v>5521</v>
      </c>
      <c r="N2746" s="65" t="s">
        <v>5522</v>
      </c>
    </row>
    <row r="2747" spans="13:14" x14ac:dyDescent="0.25">
      <c r="M2747" s="65" t="s">
        <v>5523</v>
      </c>
      <c r="N2747" s="65" t="s">
        <v>5524</v>
      </c>
    </row>
    <row r="2748" spans="13:14" x14ac:dyDescent="0.25">
      <c r="M2748" s="65" t="s">
        <v>5525</v>
      </c>
      <c r="N2748" s="65" t="s">
        <v>5526</v>
      </c>
    </row>
    <row r="2749" spans="13:14" x14ac:dyDescent="0.25">
      <c r="M2749" s="65" t="s">
        <v>5527</v>
      </c>
      <c r="N2749" s="65" t="s">
        <v>5528</v>
      </c>
    </row>
    <row r="2750" spans="13:14" x14ac:dyDescent="0.25">
      <c r="M2750" s="65" t="s">
        <v>5529</v>
      </c>
      <c r="N2750" s="65" t="s">
        <v>5530</v>
      </c>
    </row>
    <row r="2751" spans="13:14" x14ac:dyDescent="0.25">
      <c r="M2751" s="65" t="s">
        <v>5531</v>
      </c>
      <c r="N2751" s="65" t="s">
        <v>5532</v>
      </c>
    </row>
    <row r="2752" spans="13:14" x14ac:dyDescent="0.25">
      <c r="M2752" s="65" t="s">
        <v>5533</v>
      </c>
      <c r="N2752" s="65" t="s">
        <v>5534</v>
      </c>
    </row>
    <row r="2753" spans="13:14" x14ac:dyDescent="0.25">
      <c r="M2753" s="65" t="s">
        <v>5535</v>
      </c>
      <c r="N2753" s="65" t="s">
        <v>5536</v>
      </c>
    </row>
    <row r="2754" spans="13:14" x14ac:dyDescent="0.25">
      <c r="M2754" s="65" t="s">
        <v>5537</v>
      </c>
      <c r="N2754" s="65" t="s">
        <v>5538</v>
      </c>
    </row>
    <row r="2755" spans="13:14" x14ac:dyDescent="0.25">
      <c r="M2755" s="65" t="s">
        <v>5539</v>
      </c>
      <c r="N2755" s="65" t="s">
        <v>5540</v>
      </c>
    </row>
    <row r="2756" spans="13:14" x14ac:dyDescent="0.25">
      <c r="M2756" s="65" t="s">
        <v>5541</v>
      </c>
      <c r="N2756" s="65" t="s">
        <v>5542</v>
      </c>
    </row>
    <row r="2757" spans="13:14" x14ac:dyDescent="0.25">
      <c r="M2757" s="65" t="s">
        <v>5543</v>
      </c>
      <c r="N2757" s="65" t="s">
        <v>5544</v>
      </c>
    </row>
    <row r="2758" spans="13:14" x14ac:dyDescent="0.25">
      <c r="M2758" s="65" t="s">
        <v>5545</v>
      </c>
      <c r="N2758" s="65" t="s">
        <v>5546</v>
      </c>
    </row>
    <row r="2759" spans="13:14" x14ac:dyDescent="0.25">
      <c r="M2759" s="65" t="s">
        <v>5547</v>
      </c>
      <c r="N2759" s="65" t="s">
        <v>5548</v>
      </c>
    </row>
    <row r="2760" spans="13:14" x14ac:dyDescent="0.25">
      <c r="M2760" s="65" t="s">
        <v>5549</v>
      </c>
      <c r="N2760" s="65" t="s">
        <v>5550</v>
      </c>
    </row>
    <row r="2761" spans="13:14" x14ac:dyDescent="0.25">
      <c r="M2761" s="65" t="s">
        <v>5551</v>
      </c>
      <c r="N2761" s="65" t="s">
        <v>5552</v>
      </c>
    </row>
    <row r="2762" spans="13:14" x14ac:dyDescent="0.25">
      <c r="M2762" s="65" t="s">
        <v>5553</v>
      </c>
      <c r="N2762" s="65" t="s">
        <v>5554</v>
      </c>
    </row>
    <row r="2763" spans="13:14" x14ac:dyDescent="0.25">
      <c r="M2763" s="65" t="s">
        <v>5555</v>
      </c>
      <c r="N2763" s="65" t="s">
        <v>5556</v>
      </c>
    </row>
    <row r="2764" spans="13:14" x14ac:dyDescent="0.25">
      <c r="M2764" s="65" t="s">
        <v>5557</v>
      </c>
      <c r="N2764" s="65" t="s">
        <v>5558</v>
      </c>
    </row>
    <row r="2765" spans="13:14" x14ac:dyDescent="0.25">
      <c r="M2765" s="65" t="s">
        <v>5559</v>
      </c>
      <c r="N2765" s="65" t="s">
        <v>5560</v>
      </c>
    </row>
    <row r="2766" spans="13:14" x14ac:dyDescent="0.25">
      <c r="M2766" s="65" t="s">
        <v>5561</v>
      </c>
      <c r="N2766" s="65" t="s">
        <v>5562</v>
      </c>
    </row>
    <row r="2767" spans="13:14" x14ac:dyDescent="0.25">
      <c r="M2767" s="65" t="s">
        <v>5563</v>
      </c>
      <c r="N2767" s="65" t="s">
        <v>5564</v>
      </c>
    </row>
    <row r="2768" spans="13:14" x14ac:dyDescent="0.25">
      <c r="M2768" s="65" t="s">
        <v>5565</v>
      </c>
      <c r="N2768" s="65" t="s">
        <v>5566</v>
      </c>
    </row>
    <row r="2769" spans="13:14" x14ac:dyDescent="0.25">
      <c r="M2769" s="65" t="s">
        <v>5567</v>
      </c>
      <c r="N2769" s="65" t="s">
        <v>5568</v>
      </c>
    </row>
    <row r="2770" spans="13:14" x14ac:dyDescent="0.25">
      <c r="M2770" s="65" t="s">
        <v>5569</v>
      </c>
      <c r="N2770" s="65" t="s">
        <v>5570</v>
      </c>
    </row>
    <row r="2771" spans="13:14" x14ac:dyDescent="0.25">
      <c r="M2771" s="65" t="s">
        <v>5571</v>
      </c>
      <c r="N2771" s="65" t="s">
        <v>5572</v>
      </c>
    </row>
    <row r="2772" spans="13:14" x14ac:dyDescent="0.25">
      <c r="M2772" s="65" t="s">
        <v>5573</v>
      </c>
      <c r="N2772" s="65" t="s">
        <v>5574</v>
      </c>
    </row>
    <row r="2773" spans="13:14" x14ac:dyDescent="0.25">
      <c r="M2773" s="65" t="s">
        <v>5575</v>
      </c>
      <c r="N2773" s="65" t="s">
        <v>5576</v>
      </c>
    </row>
    <row r="2774" spans="13:14" x14ac:dyDescent="0.25">
      <c r="M2774" s="65" t="s">
        <v>5577</v>
      </c>
      <c r="N2774" s="65" t="s">
        <v>5578</v>
      </c>
    </row>
    <row r="2775" spans="13:14" x14ac:dyDescent="0.25">
      <c r="M2775" s="65" t="s">
        <v>5579</v>
      </c>
      <c r="N2775" s="65" t="s">
        <v>5580</v>
      </c>
    </row>
    <row r="2776" spans="13:14" x14ac:dyDescent="0.25">
      <c r="M2776" s="65" t="s">
        <v>5581</v>
      </c>
      <c r="N2776" s="65" t="s">
        <v>5582</v>
      </c>
    </row>
    <row r="2777" spans="13:14" x14ac:dyDescent="0.25">
      <c r="M2777" s="65" t="s">
        <v>5583</v>
      </c>
      <c r="N2777" s="65" t="s">
        <v>5584</v>
      </c>
    </row>
    <row r="2778" spans="13:14" x14ac:dyDescent="0.25">
      <c r="M2778" s="65" t="s">
        <v>5585</v>
      </c>
      <c r="N2778" s="65" t="s">
        <v>5586</v>
      </c>
    </row>
    <row r="2779" spans="13:14" x14ac:dyDescent="0.25">
      <c r="M2779" s="65" t="s">
        <v>5587</v>
      </c>
      <c r="N2779" s="65" t="s">
        <v>5588</v>
      </c>
    </row>
    <row r="2780" spans="13:14" x14ac:dyDescent="0.25">
      <c r="M2780" s="65" t="s">
        <v>5589</v>
      </c>
      <c r="N2780" s="65" t="s">
        <v>5590</v>
      </c>
    </row>
    <row r="2781" spans="13:14" x14ac:dyDescent="0.25">
      <c r="M2781" s="65" t="s">
        <v>5591</v>
      </c>
      <c r="N2781" s="65" t="s">
        <v>5592</v>
      </c>
    </row>
    <row r="2782" spans="13:14" x14ac:dyDescent="0.25">
      <c r="M2782" s="65" t="s">
        <v>5593</v>
      </c>
      <c r="N2782" s="65" t="s">
        <v>5594</v>
      </c>
    </row>
    <row r="2783" spans="13:14" x14ac:dyDescent="0.25">
      <c r="M2783" s="65" t="s">
        <v>5595</v>
      </c>
      <c r="N2783" s="65" t="s">
        <v>5596</v>
      </c>
    </row>
    <row r="2784" spans="13:14" x14ac:dyDescent="0.25">
      <c r="M2784" s="65" t="s">
        <v>5597</v>
      </c>
      <c r="N2784" s="65" t="s">
        <v>5598</v>
      </c>
    </row>
    <row r="2785" spans="13:14" x14ac:dyDescent="0.25">
      <c r="M2785" s="65" t="s">
        <v>5599</v>
      </c>
      <c r="N2785" s="65" t="s">
        <v>5600</v>
      </c>
    </row>
    <row r="2786" spans="13:14" x14ac:dyDescent="0.25">
      <c r="M2786" s="65" t="s">
        <v>5601</v>
      </c>
      <c r="N2786" s="65" t="s">
        <v>5602</v>
      </c>
    </row>
    <row r="2787" spans="13:14" x14ac:dyDescent="0.25">
      <c r="M2787" s="65" t="s">
        <v>5603</v>
      </c>
      <c r="N2787" s="65" t="s">
        <v>5604</v>
      </c>
    </row>
    <row r="2788" spans="13:14" x14ac:dyDescent="0.25">
      <c r="M2788" s="65" t="s">
        <v>5605</v>
      </c>
      <c r="N2788" s="65" t="s">
        <v>5606</v>
      </c>
    </row>
    <row r="2789" spans="13:14" x14ac:dyDescent="0.25">
      <c r="M2789" s="65" t="s">
        <v>5607</v>
      </c>
      <c r="N2789" s="65" t="s">
        <v>5608</v>
      </c>
    </row>
    <row r="2790" spans="13:14" x14ac:dyDescent="0.25">
      <c r="M2790" s="65" t="s">
        <v>5609</v>
      </c>
      <c r="N2790" s="65" t="s">
        <v>5610</v>
      </c>
    </row>
    <row r="2791" spans="13:14" x14ac:dyDescent="0.25">
      <c r="M2791" s="65" t="s">
        <v>5611</v>
      </c>
      <c r="N2791" s="65" t="s">
        <v>5612</v>
      </c>
    </row>
    <row r="2792" spans="13:14" x14ac:dyDescent="0.25">
      <c r="M2792" s="65" t="s">
        <v>5613</v>
      </c>
      <c r="N2792" s="65" t="s">
        <v>5614</v>
      </c>
    </row>
    <row r="2793" spans="13:14" x14ac:dyDescent="0.25">
      <c r="M2793" s="65" t="s">
        <v>5615</v>
      </c>
      <c r="N2793" s="65" t="s">
        <v>5616</v>
      </c>
    </row>
    <row r="2794" spans="13:14" x14ac:dyDescent="0.25">
      <c r="M2794" s="65" t="s">
        <v>5617</v>
      </c>
      <c r="N2794" s="65" t="s">
        <v>5618</v>
      </c>
    </row>
    <row r="2795" spans="13:14" x14ac:dyDescent="0.25">
      <c r="M2795" s="65" t="s">
        <v>5619</v>
      </c>
      <c r="N2795" s="65" t="s">
        <v>5620</v>
      </c>
    </row>
    <row r="2796" spans="13:14" x14ac:dyDescent="0.25">
      <c r="M2796" s="65" t="s">
        <v>5621</v>
      </c>
      <c r="N2796" s="65" t="s">
        <v>5622</v>
      </c>
    </row>
    <row r="2797" spans="13:14" x14ac:dyDescent="0.25">
      <c r="M2797" s="65" t="s">
        <v>5623</v>
      </c>
      <c r="N2797" s="65" t="s">
        <v>5624</v>
      </c>
    </row>
    <row r="2798" spans="13:14" x14ac:dyDescent="0.25">
      <c r="M2798" s="65" t="s">
        <v>5625</v>
      </c>
      <c r="N2798" s="65" t="s">
        <v>5626</v>
      </c>
    </row>
    <row r="2799" spans="13:14" x14ac:dyDescent="0.25">
      <c r="M2799" s="65" t="s">
        <v>5627</v>
      </c>
      <c r="N2799" s="65" t="s">
        <v>5628</v>
      </c>
    </row>
    <row r="2800" spans="13:14" x14ac:dyDescent="0.25">
      <c r="M2800" s="65" t="s">
        <v>5629</v>
      </c>
      <c r="N2800" s="65" t="s">
        <v>5630</v>
      </c>
    </row>
    <row r="2801" spans="13:14" x14ac:dyDescent="0.25">
      <c r="M2801" s="65" t="s">
        <v>5631</v>
      </c>
      <c r="N2801" s="65" t="s">
        <v>5632</v>
      </c>
    </row>
    <row r="2802" spans="13:14" x14ac:dyDescent="0.25">
      <c r="M2802" s="65" t="s">
        <v>5633</v>
      </c>
      <c r="N2802" s="65" t="s">
        <v>5634</v>
      </c>
    </row>
    <row r="2803" spans="13:14" x14ac:dyDescent="0.25">
      <c r="M2803" s="65" t="s">
        <v>5635</v>
      </c>
      <c r="N2803" s="65" t="s">
        <v>5636</v>
      </c>
    </row>
    <row r="2804" spans="13:14" x14ac:dyDescent="0.25">
      <c r="M2804" s="65" t="s">
        <v>5637</v>
      </c>
      <c r="N2804" s="65" t="s">
        <v>5638</v>
      </c>
    </row>
    <row r="2805" spans="13:14" x14ac:dyDescent="0.25">
      <c r="M2805" s="65" t="s">
        <v>5639</v>
      </c>
      <c r="N2805" s="65" t="s">
        <v>5640</v>
      </c>
    </row>
    <row r="2806" spans="13:14" x14ac:dyDescent="0.25">
      <c r="M2806" s="65" t="s">
        <v>5641</v>
      </c>
      <c r="N2806" s="65" t="s">
        <v>5642</v>
      </c>
    </row>
    <row r="2807" spans="13:14" x14ac:dyDescent="0.25">
      <c r="M2807" s="65" t="s">
        <v>5643</v>
      </c>
      <c r="N2807" s="65" t="s">
        <v>5644</v>
      </c>
    </row>
    <row r="2808" spans="13:14" x14ac:dyDescent="0.25">
      <c r="M2808" s="65" t="s">
        <v>5645</v>
      </c>
      <c r="N2808" s="65" t="s">
        <v>5646</v>
      </c>
    </row>
    <row r="2809" spans="13:14" x14ac:dyDescent="0.25">
      <c r="M2809" s="65" t="s">
        <v>5647</v>
      </c>
      <c r="N2809" s="65" t="s">
        <v>5648</v>
      </c>
    </row>
    <row r="2810" spans="13:14" x14ac:dyDescent="0.25">
      <c r="M2810" s="65" t="s">
        <v>5649</v>
      </c>
      <c r="N2810" s="65" t="s">
        <v>5650</v>
      </c>
    </row>
    <row r="2811" spans="13:14" x14ac:dyDescent="0.25">
      <c r="M2811" s="65" t="s">
        <v>5651</v>
      </c>
      <c r="N2811" s="65" t="s">
        <v>5652</v>
      </c>
    </row>
    <row r="2812" spans="13:14" x14ac:dyDescent="0.25">
      <c r="M2812" s="65" t="s">
        <v>5653</v>
      </c>
      <c r="N2812" s="65" t="s">
        <v>5654</v>
      </c>
    </row>
    <row r="2813" spans="13:14" x14ac:dyDescent="0.25">
      <c r="M2813" s="65" t="s">
        <v>5655</v>
      </c>
      <c r="N2813" s="65" t="s">
        <v>5656</v>
      </c>
    </row>
    <row r="2814" spans="13:14" x14ac:dyDescent="0.25">
      <c r="M2814" s="65" t="s">
        <v>5657</v>
      </c>
      <c r="N2814" s="65" t="s">
        <v>5658</v>
      </c>
    </row>
    <row r="2815" spans="13:14" x14ac:dyDescent="0.25">
      <c r="M2815" s="65" t="s">
        <v>5659</v>
      </c>
      <c r="N2815" s="65" t="s">
        <v>5660</v>
      </c>
    </row>
    <row r="2816" spans="13:14" x14ac:dyDescent="0.25">
      <c r="M2816" s="65" t="s">
        <v>5661</v>
      </c>
      <c r="N2816" s="65" t="s">
        <v>5662</v>
      </c>
    </row>
    <row r="2817" spans="13:14" x14ac:dyDescent="0.25">
      <c r="M2817" s="65" t="s">
        <v>5663</v>
      </c>
      <c r="N2817" s="65" t="s">
        <v>5664</v>
      </c>
    </row>
    <row r="2818" spans="13:14" x14ac:dyDescent="0.25">
      <c r="M2818" s="65" t="s">
        <v>5665</v>
      </c>
      <c r="N2818" s="65" t="s">
        <v>5666</v>
      </c>
    </row>
    <row r="2819" spans="13:14" x14ac:dyDescent="0.25">
      <c r="M2819" s="65" t="s">
        <v>5667</v>
      </c>
      <c r="N2819" s="65" t="s">
        <v>5668</v>
      </c>
    </row>
    <row r="2820" spans="13:14" x14ac:dyDescent="0.25">
      <c r="M2820" s="65" t="s">
        <v>5669</v>
      </c>
      <c r="N2820" s="65" t="s">
        <v>5670</v>
      </c>
    </row>
    <row r="2821" spans="13:14" x14ac:dyDescent="0.25">
      <c r="M2821" s="65" t="s">
        <v>5671</v>
      </c>
      <c r="N2821" s="65" t="s">
        <v>5672</v>
      </c>
    </row>
    <row r="2822" spans="13:14" x14ac:dyDescent="0.25">
      <c r="M2822" s="65" t="s">
        <v>5673</v>
      </c>
      <c r="N2822" s="65" t="s">
        <v>5674</v>
      </c>
    </row>
    <row r="2823" spans="13:14" x14ac:dyDescent="0.25">
      <c r="M2823" s="65" t="s">
        <v>5675</v>
      </c>
      <c r="N2823" s="65" t="s">
        <v>5676</v>
      </c>
    </row>
    <row r="2824" spans="13:14" x14ac:dyDescent="0.25">
      <c r="M2824" s="65" t="s">
        <v>5677</v>
      </c>
      <c r="N2824" s="65" t="s">
        <v>5678</v>
      </c>
    </row>
    <row r="2825" spans="13:14" x14ac:dyDescent="0.25">
      <c r="M2825" s="65" t="s">
        <v>5679</v>
      </c>
      <c r="N2825" s="65" t="s">
        <v>5680</v>
      </c>
    </row>
    <row r="2826" spans="13:14" x14ac:dyDescent="0.25">
      <c r="M2826" s="65" t="s">
        <v>5681</v>
      </c>
      <c r="N2826" s="65" t="s">
        <v>5682</v>
      </c>
    </row>
    <row r="2827" spans="13:14" x14ac:dyDescent="0.25">
      <c r="M2827" s="65" t="s">
        <v>5683</v>
      </c>
      <c r="N2827" s="65" t="s">
        <v>5684</v>
      </c>
    </row>
    <row r="2828" spans="13:14" x14ac:dyDescent="0.25">
      <c r="M2828" s="65" t="s">
        <v>5685</v>
      </c>
      <c r="N2828" s="65" t="s">
        <v>5686</v>
      </c>
    </row>
    <row r="2829" spans="13:14" x14ac:dyDescent="0.25">
      <c r="M2829" s="65" t="s">
        <v>5687</v>
      </c>
      <c r="N2829" s="65" t="s">
        <v>5688</v>
      </c>
    </row>
    <row r="2830" spans="13:14" x14ac:dyDescent="0.25">
      <c r="M2830" s="65" t="s">
        <v>5689</v>
      </c>
      <c r="N2830" s="65" t="s">
        <v>5690</v>
      </c>
    </row>
    <row r="2831" spans="13:14" x14ac:dyDescent="0.25">
      <c r="M2831" s="65" t="s">
        <v>5691</v>
      </c>
      <c r="N2831" s="65" t="s">
        <v>5692</v>
      </c>
    </row>
    <row r="2832" spans="13:14" x14ac:dyDescent="0.25">
      <c r="M2832" s="65" t="s">
        <v>5693</v>
      </c>
      <c r="N2832" s="65" t="s">
        <v>5694</v>
      </c>
    </row>
    <row r="2833" spans="13:14" x14ac:dyDescent="0.25">
      <c r="M2833" s="65" t="s">
        <v>5695</v>
      </c>
      <c r="N2833" s="65" t="s">
        <v>5696</v>
      </c>
    </row>
    <row r="2834" spans="13:14" x14ac:dyDescent="0.25">
      <c r="M2834" s="65" t="s">
        <v>5697</v>
      </c>
      <c r="N2834" s="65" t="s">
        <v>5698</v>
      </c>
    </row>
    <row r="2835" spans="13:14" x14ac:dyDescent="0.25">
      <c r="M2835" s="65" t="s">
        <v>5699</v>
      </c>
      <c r="N2835" s="65" t="s">
        <v>5700</v>
      </c>
    </row>
    <row r="2836" spans="13:14" x14ac:dyDescent="0.25">
      <c r="M2836" s="65" t="s">
        <v>5701</v>
      </c>
      <c r="N2836" s="65" t="s">
        <v>5702</v>
      </c>
    </row>
    <row r="2837" spans="13:14" x14ac:dyDescent="0.25">
      <c r="M2837" s="65" t="s">
        <v>5703</v>
      </c>
      <c r="N2837" s="65" t="s">
        <v>5704</v>
      </c>
    </row>
    <row r="2838" spans="13:14" x14ac:dyDescent="0.25">
      <c r="M2838" s="65" t="s">
        <v>5705</v>
      </c>
      <c r="N2838" s="65" t="s">
        <v>5706</v>
      </c>
    </row>
    <row r="2839" spans="13:14" x14ac:dyDescent="0.25">
      <c r="M2839" s="65" t="s">
        <v>5707</v>
      </c>
      <c r="N2839" s="65" t="s">
        <v>5708</v>
      </c>
    </row>
    <row r="2840" spans="13:14" x14ac:dyDescent="0.25">
      <c r="M2840" s="65" t="s">
        <v>5709</v>
      </c>
      <c r="N2840" s="65" t="s">
        <v>5710</v>
      </c>
    </row>
    <row r="2841" spans="13:14" x14ac:dyDescent="0.25">
      <c r="M2841" s="65" t="s">
        <v>5711</v>
      </c>
      <c r="N2841" s="65" t="s">
        <v>5712</v>
      </c>
    </row>
    <row r="2842" spans="13:14" x14ac:dyDescent="0.25">
      <c r="M2842" s="65" t="s">
        <v>5713</v>
      </c>
      <c r="N2842" s="65" t="s">
        <v>5714</v>
      </c>
    </row>
    <row r="2843" spans="13:14" x14ac:dyDescent="0.25">
      <c r="M2843" s="65" t="s">
        <v>5715</v>
      </c>
      <c r="N2843" s="65" t="s">
        <v>5716</v>
      </c>
    </row>
    <row r="2844" spans="13:14" x14ac:dyDescent="0.25">
      <c r="M2844" s="65" t="s">
        <v>5717</v>
      </c>
      <c r="N2844" s="65" t="s">
        <v>5718</v>
      </c>
    </row>
    <row r="2845" spans="13:14" x14ac:dyDescent="0.25">
      <c r="M2845" s="65" t="s">
        <v>5719</v>
      </c>
      <c r="N2845" s="65" t="s">
        <v>5720</v>
      </c>
    </row>
    <row r="2846" spans="13:14" x14ac:dyDescent="0.25">
      <c r="M2846" s="65" t="s">
        <v>5721</v>
      </c>
      <c r="N2846" s="65" t="s">
        <v>5722</v>
      </c>
    </row>
    <row r="2847" spans="13:14" x14ac:dyDescent="0.25">
      <c r="M2847" s="65" t="s">
        <v>5723</v>
      </c>
      <c r="N2847" s="65" t="s">
        <v>5724</v>
      </c>
    </row>
    <row r="2848" spans="13:14" x14ac:dyDescent="0.25">
      <c r="M2848" s="65" t="s">
        <v>5725</v>
      </c>
      <c r="N2848" s="65" t="s">
        <v>5726</v>
      </c>
    </row>
    <row r="2849" spans="13:14" x14ac:dyDescent="0.25">
      <c r="M2849" s="65" t="s">
        <v>5727</v>
      </c>
      <c r="N2849" s="65" t="s">
        <v>5728</v>
      </c>
    </row>
    <row r="2850" spans="13:14" x14ac:dyDescent="0.25">
      <c r="M2850" s="65" t="s">
        <v>5729</v>
      </c>
      <c r="N2850" s="65" t="s">
        <v>5730</v>
      </c>
    </row>
    <row r="2851" spans="13:14" x14ac:dyDescent="0.25">
      <c r="M2851" s="65" t="s">
        <v>5731</v>
      </c>
      <c r="N2851" s="65" t="s">
        <v>5732</v>
      </c>
    </row>
    <row r="2852" spans="13:14" x14ac:dyDescent="0.25">
      <c r="M2852" s="65" t="s">
        <v>5733</v>
      </c>
      <c r="N2852" s="65" t="s">
        <v>5734</v>
      </c>
    </row>
    <row r="2853" spans="13:14" x14ac:dyDescent="0.25">
      <c r="M2853" s="65" t="s">
        <v>5735</v>
      </c>
      <c r="N2853" s="65" t="s">
        <v>5736</v>
      </c>
    </row>
    <row r="2854" spans="13:14" x14ac:dyDescent="0.25">
      <c r="M2854" s="65" t="s">
        <v>5737</v>
      </c>
      <c r="N2854" s="65" t="s">
        <v>5738</v>
      </c>
    </row>
    <row r="2855" spans="13:14" x14ac:dyDescent="0.25">
      <c r="M2855" s="65" t="s">
        <v>5739</v>
      </c>
      <c r="N2855" s="65" t="s">
        <v>5740</v>
      </c>
    </row>
    <row r="2856" spans="13:14" x14ac:dyDescent="0.25">
      <c r="M2856" s="65" t="s">
        <v>5741</v>
      </c>
      <c r="N2856" s="65" t="s">
        <v>5742</v>
      </c>
    </row>
    <row r="2857" spans="13:14" x14ac:dyDescent="0.25">
      <c r="M2857" s="65" t="s">
        <v>5743</v>
      </c>
      <c r="N2857" s="65" t="s">
        <v>5744</v>
      </c>
    </row>
    <row r="2858" spans="13:14" x14ac:dyDescent="0.25">
      <c r="M2858" s="65" t="s">
        <v>5745</v>
      </c>
      <c r="N2858" s="65" t="s">
        <v>5746</v>
      </c>
    </row>
    <row r="2859" spans="13:14" x14ac:dyDescent="0.25">
      <c r="M2859" s="65" t="s">
        <v>5747</v>
      </c>
      <c r="N2859" s="65" t="s">
        <v>5748</v>
      </c>
    </row>
    <row r="2860" spans="13:14" x14ac:dyDescent="0.25">
      <c r="M2860" s="65" t="s">
        <v>5749</v>
      </c>
      <c r="N2860" s="65" t="s">
        <v>5750</v>
      </c>
    </row>
    <row r="2861" spans="13:14" x14ac:dyDescent="0.25">
      <c r="M2861" s="65" t="s">
        <v>5751</v>
      </c>
      <c r="N2861" s="65" t="s">
        <v>5752</v>
      </c>
    </row>
    <row r="2862" spans="13:14" x14ac:dyDescent="0.25">
      <c r="M2862" s="65" t="s">
        <v>5753</v>
      </c>
      <c r="N2862" s="65" t="s">
        <v>5754</v>
      </c>
    </row>
    <row r="2863" spans="13:14" x14ac:dyDescent="0.25">
      <c r="M2863" s="65" t="s">
        <v>5755</v>
      </c>
      <c r="N2863" s="65" t="s">
        <v>5756</v>
      </c>
    </row>
    <row r="2864" spans="13:14" x14ac:dyDescent="0.25">
      <c r="M2864" s="65" t="s">
        <v>5757</v>
      </c>
      <c r="N2864" s="65" t="s">
        <v>5758</v>
      </c>
    </row>
    <row r="2865" spans="13:14" x14ac:dyDescent="0.25">
      <c r="M2865" s="65" t="s">
        <v>5759</v>
      </c>
      <c r="N2865" s="65" t="s">
        <v>5760</v>
      </c>
    </row>
    <row r="2866" spans="13:14" x14ac:dyDescent="0.25">
      <c r="M2866" s="65" t="s">
        <v>5761</v>
      </c>
      <c r="N2866" s="65" t="s">
        <v>5762</v>
      </c>
    </row>
    <row r="2867" spans="13:14" x14ac:dyDescent="0.25">
      <c r="M2867" s="65" t="s">
        <v>5763</v>
      </c>
      <c r="N2867" s="65" t="s">
        <v>5764</v>
      </c>
    </row>
    <row r="2868" spans="13:14" x14ac:dyDescent="0.25">
      <c r="M2868" s="65" t="s">
        <v>5765</v>
      </c>
      <c r="N2868" s="65" t="s">
        <v>5766</v>
      </c>
    </row>
    <row r="2869" spans="13:14" x14ac:dyDescent="0.25">
      <c r="M2869" s="65" t="s">
        <v>5767</v>
      </c>
      <c r="N2869" s="65" t="s">
        <v>5768</v>
      </c>
    </row>
    <row r="2870" spans="13:14" x14ac:dyDescent="0.25">
      <c r="M2870" s="65" t="s">
        <v>5769</v>
      </c>
      <c r="N2870" s="65" t="s">
        <v>5770</v>
      </c>
    </row>
    <row r="2871" spans="13:14" x14ac:dyDescent="0.25">
      <c r="M2871" s="65" t="s">
        <v>5771</v>
      </c>
      <c r="N2871" s="65" t="s">
        <v>5772</v>
      </c>
    </row>
    <row r="2872" spans="13:14" x14ac:dyDescent="0.25">
      <c r="M2872" s="65" t="s">
        <v>5773</v>
      </c>
      <c r="N2872" s="65" t="s">
        <v>5774</v>
      </c>
    </row>
    <row r="2873" spans="13:14" x14ac:dyDescent="0.25">
      <c r="M2873" s="65" t="s">
        <v>5775</v>
      </c>
      <c r="N2873" s="65" t="s">
        <v>5776</v>
      </c>
    </row>
    <row r="2874" spans="13:14" x14ac:dyDescent="0.25">
      <c r="M2874" s="65" t="s">
        <v>5777</v>
      </c>
      <c r="N2874" s="65" t="s">
        <v>5778</v>
      </c>
    </row>
    <row r="2875" spans="13:14" x14ac:dyDescent="0.25">
      <c r="M2875" s="65" t="s">
        <v>5779</v>
      </c>
      <c r="N2875" s="65" t="s">
        <v>5780</v>
      </c>
    </row>
    <row r="2876" spans="13:14" x14ac:dyDescent="0.25">
      <c r="M2876" s="65" t="s">
        <v>5781</v>
      </c>
      <c r="N2876" s="65" t="s">
        <v>5782</v>
      </c>
    </row>
    <row r="2877" spans="13:14" x14ac:dyDescent="0.25">
      <c r="M2877" s="65" t="s">
        <v>5783</v>
      </c>
      <c r="N2877" s="65" t="s">
        <v>5784</v>
      </c>
    </row>
    <row r="2878" spans="13:14" x14ac:dyDescent="0.25">
      <c r="M2878" s="65" t="s">
        <v>5785</v>
      </c>
      <c r="N2878" s="65" t="s">
        <v>5786</v>
      </c>
    </row>
    <row r="2879" spans="13:14" x14ac:dyDescent="0.25">
      <c r="M2879" s="65" t="s">
        <v>5787</v>
      </c>
      <c r="N2879" s="65" t="s">
        <v>5788</v>
      </c>
    </row>
    <row r="2880" spans="13:14" x14ac:dyDescent="0.25">
      <c r="M2880" s="65" t="s">
        <v>5789</v>
      </c>
      <c r="N2880" s="65" t="s">
        <v>5790</v>
      </c>
    </row>
    <row r="2881" spans="13:14" x14ac:dyDescent="0.25">
      <c r="M2881" s="65" t="s">
        <v>5791</v>
      </c>
      <c r="N2881" s="65" t="s">
        <v>5792</v>
      </c>
    </row>
    <row r="2882" spans="13:14" x14ac:dyDescent="0.25">
      <c r="M2882" s="65" t="s">
        <v>5793</v>
      </c>
      <c r="N2882" s="65" t="s">
        <v>5794</v>
      </c>
    </row>
    <row r="2883" spans="13:14" x14ac:dyDescent="0.25">
      <c r="M2883" s="65" t="s">
        <v>5795</v>
      </c>
      <c r="N2883" s="65" t="s">
        <v>5796</v>
      </c>
    </row>
    <row r="2884" spans="13:14" x14ac:dyDescent="0.25">
      <c r="M2884" s="65" t="s">
        <v>5797</v>
      </c>
      <c r="N2884" s="65" t="s">
        <v>5798</v>
      </c>
    </row>
    <row r="2885" spans="13:14" x14ac:dyDescent="0.25">
      <c r="M2885" s="65" t="s">
        <v>5799</v>
      </c>
      <c r="N2885" s="65" t="s">
        <v>5800</v>
      </c>
    </row>
    <row r="2886" spans="13:14" x14ac:dyDescent="0.25">
      <c r="M2886" s="65" t="s">
        <v>5801</v>
      </c>
      <c r="N2886" s="65" t="s">
        <v>5802</v>
      </c>
    </row>
    <row r="2887" spans="13:14" x14ac:dyDescent="0.25">
      <c r="M2887" s="65" t="s">
        <v>5803</v>
      </c>
      <c r="N2887" s="65" t="s">
        <v>5804</v>
      </c>
    </row>
    <row r="2888" spans="13:14" x14ac:dyDescent="0.25">
      <c r="M2888" s="65" t="s">
        <v>5805</v>
      </c>
      <c r="N2888" s="65" t="s">
        <v>5806</v>
      </c>
    </row>
    <row r="2889" spans="13:14" x14ac:dyDescent="0.25">
      <c r="M2889" s="65" t="s">
        <v>5807</v>
      </c>
      <c r="N2889" s="65" t="s">
        <v>5808</v>
      </c>
    </row>
    <row r="2890" spans="13:14" x14ac:dyDescent="0.25">
      <c r="M2890" s="65" t="s">
        <v>5809</v>
      </c>
      <c r="N2890" s="65" t="s">
        <v>5810</v>
      </c>
    </row>
    <row r="2891" spans="13:14" x14ac:dyDescent="0.25">
      <c r="M2891" s="65" t="s">
        <v>5811</v>
      </c>
      <c r="N2891" s="65" t="s">
        <v>5812</v>
      </c>
    </row>
    <row r="2892" spans="13:14" x14ac:dyDescent="0.25">
      <c r="M2892" s="65" t="s">
        <v>5813</v>
      </c>
      <c r="N2892" s="65" t="s">
        <v>5814</v>
      </c>
    </row>
    <row r="2893" spans="13:14" x14ac:dyDescent="0.25">
      <c r="M2893" s="65" t="s">
        <v>5815</v>
      </c>
      <c r="N2893" s="65" t="s">
        <v>5816</v>
      </c>
    </row>
    <row r="2894" spans="13:14" x14ac:dyDescent="0.25">
      <c r="M2894" s="65" t="s">
        <v>5817</v>
      </c>
      <c r="N2894" s="65" t="s">
        <v>5818</v>
      </c>
    </row>
    <row r="2895" spans="13:14" x14ac:dyDescent="0.25">
      <c r="M2895" s="65" t="s">
        <v>5819</v>
      </c>
      <c r="N2895" s="65" t="s">
        <v>5820</v>
      </c>
    </row>
    <row r="2896" spans="13:14" x14ac:dyDescent="0.25">
      <c r="M2896" s="65" t="s">
        <v>5821</v>
      </c>
      <c r="N2896" s="65" t="s">
        <v>5822</v>
      </c>
    </row>
    <row r="2897" spans="13:14" x14ac:dyDescent="0.25">
      <c r="M2897" s="65" t="s">
        <v>5823</v>
      </c>
      <c r="N2897" s="65" t="s">
        <v>5824</v>
      </c>
    </row>
    <row r="2898" spans="13:14" x14ac:dyDescent="0.25">
      <c r="M2898" s="65" t="s">
        <v>5825</v>
      </c>
      <c r="N2898" s="65" t="s">
        <v>5826</v>
      </c>
    </row>
    <row r="2899" spans="13:14" x14ac:dyDescent="0.25">
      <c r="M2899" s="65" t="s">
        <v>5827</v>
      </c>
      <c r="N2899" s="65" t="s">
        <v>5828</v>
      </c>
    </row>
    <row r="2900" spans="13:14" x14ac:dyDescent="0.25">
      <c r="M2900" s="65" t="s">
        <v>5829</v>
      </c>
      <c r="N2900" s="65" t="s">
        <v>5830</v>
      </c>
    </row>
    <row r="2901" spans="13:14" x14ac:dyDescent="0.25">
      <c r="M2901" s="65" t="s">
        <v>5831</v>
      </c>
      <c r="N2901" s="65" t="s">
        <v>5832</v>
      </c>
    </row>
    <row r="2902" spans="13:14" x14ac:dyDescent="0.25">
      <c r="M2902" s="65" t="s">
        <v>5833</v>
      </c>
      <c r="N2902" s="65" t="s">
        <v>5834</v>
      </c>
    </row>
    <row r="2903" spans="13:14" x14ac:dyDescent="0.25">
      <c r="M2903" s="65" t="s">
        <v>5835</v>
      </c>
      <c r="N2903" s="65" t="s">
        <v>5836</v>
      </c>
    </row>
    <row r="2904" spans="13:14" x14ac:dyDescent="0.25">
      <c r="M2904" s="65" t="s">
        <v>5837</v>
      </c>
      <c r="N2904" s="65" t="s">
        <v>5838</v>
      </c>
    </row>
    <row r="2905" spans="13:14" x14ac:dyDescent="0.25">
      <c r="M2905" s="65" t="s">
        <v>5839</v>
      </c>
      <c r="N2905" s="65" t="s">
        <v>5840</v>
      </c>
    </row>
    <row r="2906" spans="13:14" x14ac:dyDescent="0.25">
      <c r="M2906" s="65" t="s">
        <v>5841</v>
      </c>
      <c r="N2906" s="65" t="s">
        <v>5842</v>
      </c>
    </row>
    <row r="2907" spans="13:14" x14ac:dyDescent="0.25">
      <c r="M2907" s="65" t="s">
        <v>5843</v>
      </c>
      <c r="N2907" s="65" t="s">
        <v>5844</v>
      </c>
    </row>
    <row r="2908" spans="13:14" x14ac:dyDescent="0.25">
      <c r="M2908" s="65" t="s">
        <v>5845</v>
      </c>
      <c r="N2908" s="65" t="s">
        <v>5846</v>
      </c>
    </row>
    <row r="2909" spans="13:14" x14ac:dyDescent="0.25">
      <c r="M2909" s="65" t="s">
        <v>5847</v>
      </c>
      <c r="N2909" s="65" t="s">
        <v>5848</v>
      </c>
    </row>
    <row r="2910" spans="13:14" x14ac:dyDescent="0.25">
      <c r="M2910" s="65" t="s">
        <v>5849</v>
      </c>
      <c r="N2910" s="65" t="s">
        <v>5850</v>
      </c>
    </row>
    <row r="2911" spans="13:14" x14ac:dyDescent="0.25">
      <c r="M2911" s="65" t="s">
        <v>5851</v>
      </c>
      <c r="N2911" s="65" t="s">
        <v>5852</v>
      </c>
    </row>
    <row r="2912" spans="13:14" x14ac:dyDescent="0.25">
      <c r="M2912" s="65" t="s">
        <v>5853</v>
      </c>
      <c r="N2912" s="65" t="s">
        <v>5854</v>
      </c>
    </row>
    <row r="2913" spans="13:14" x14ac:dyDescent="0.25">
      <c r="M2913" s="65" t="s">
        <v>5855</v>
      </c>
      <c r="N2913" s="65" t="s">
        <v>5856</v>
      </c>
    </row>
    <row r="2914" spans="13:14" x14ac:dyDescent="0.25">
      <c r="M2914" s="65" t="s">
        <v>5857</v>
      </c>
      <c r="N2914" s="65" t="s">
        <v>5858</v>
      </c>
    </row>
    <row r="2915" spans="13:14" x14ac:dyDescent="0.25">
      <c r="M2915" s="65" t="s">
        <v>5859</v>
      </c>
      <c r="N2915" s="65" t="s">
        <v>5860</v>
      </c>
    </row>
    <row r="2916" spans="13:14" x14ac:dyDescent="0.25">
      <c r="M2916" s="65" t="s">
        <v>5861</v>
      </c>
      <c r="N2916" s="65" t="s">
        <v>5862</v>
      </c>
    </row>
    <row r="2917" spans="13:14" x14ac:dyDescent="0.25">
      <c r="M2917" s="65" t="s">
        <v>5863</v>
      </c>
      <c r="N2917" s="65" t="s">
        <v>5864</v>
      </c>
    </row>
    <row r="2918" spans="13:14" x14ac:dyDescent="0.25">
      <c r="M2918" s="65" t="s">
        <v>5865</v>
      </c>
      <c r="N2918" s="65" t="s">
        <v>5866</v>
      </c>
    </row>
    <row r="2919" spans="13:14" x14ac:dyDescent="0.25">
      <c r="M2919" s="65" t="s">
        <v>5867</v>
      </c>
      <c r="N2919" s="65" t="s">
        <v>5868</v>
      </c>
    </row>
    <row r="2920" spans="13:14" x14ac:dyDescent="0.25">
      <c r="M2920" s="65" t="s">
        <v>5869</v>
      </c>
      <c r="N2920" s="65" t="s">
        <v>5870</v>
      </c>
    </row>
    <row r="2921" spans="13:14" x14ac:dyDescent="0.25">
      <c r="M2921" s="65" t="s">
        <v>5871</v>
      </c>
      <c r="N2921" s="65" t="s">
        <v>5872</v>
      </c>
    </row>
    <row r="2922" spans="13:14" x14ac:dyDescent="0.25">
      <c r="M2922" s="65" t="s">
        <v>5873</v>
      </c>
      <c r="N2922" s="65" t="s">
        <v>5874</v>
      </c>
    </row>
    <row r="2923" spans="13:14" x14ac:dyDescent="0.25">
      <c r="M2923" s="65" t="s">
        <v>5875</v>
      </c>
      <c r="N2923" s="65" t="s">
        <v>5876</v>
      </c>
    </row>
    <row r="2924" spans="13:14" x14ac:dyDescent="0.25">
      <c r="M2924" s="65" t="s">
        <v>5877</v>
      </c>
      <c r="N2924" s="65" t="s">
        <v>5878</v>
      </c>
    </row>
    <row r="2925" spans="13:14" x14ac:dyDescent="0.25">
      <c r="M2925" s="65" t="s">
        <v>5879</v>
      </c>
      <c r="N2925" s="65" t="s">
        <v>5880</v>
      </c>
    </row>
    <row r="2926" spans="13:14" x14ac:dyDescent="0.25">
      <c r="M2926" s="65" t="s">
        <v>5881</v>
      </c>
      <c r="N2926" s="65" t="s">
        <v>5882</v>
      </c>
    </row>
    <row r="2927" spans="13:14" x14ac:dyDescent="0.25">
      <c r="M2927" s="65" t="s">
        <v>5883</v>
      </c>
      <c r="N2927" s="65" t="s">
        <v>5884</v>
      </c>
    </row>
    <row r="2928" spans="13:14" x14ac:dyDescent="0.25">
      <c r="M2928" s="65" t="s">
        <v>5885</v>
      </c>
      <c r="N2928" s="65" t="s">
        <v>5886</v>
      </c>
    </row>
    <row r="2929" spans="13:14" x14ac:dyDescent="0.25">
      <c r="M2929" s="65" t="s">
        <v>5887</v>
      </c>
      <c r="N2929" s="65" t="s">
        <v>5888</v>
      </c>
    </row>
    <row r="2930" spans="13:14" x14ac:dyDescent="0.25">
      <c r="M2930" s="65" t="s">
        <v>5889</v>
      </c>
      <c r="N2930" s="65" t="s">
        <v>5890</v>
      </c>
    </row>
    <row r="2931" spans="13:14" x14ac:dyDescent="0.25">
      <c r="M2931" s="65" t="s">
        <v>5891</v>
      </c>
      <c r="N2931" s="65" t="s">
        <v>5892</v>
      </c>
    </row>
    <row r="2932" spans="13:14" x14ac:dyDescent="0.25">
      <c r="M2932" s="65" t="s">
        <v>5893</v>
      </c>
      <c r="N2932" s="65" t="s">
        <v>5894</v>
      </c>
    </row>
    <row r="2933" spans="13:14" x14ac:dyDescent="0.25">
      <c r="M2933" s="65" t="s">
        <v>5895</v>
      </c>
      <c r="N2933" s="65" t="s">
        <v>5896</v>
      </c>
    </row>
    <row r="2934" spans="13:14" x14ac:dyDescent="0.25">
      <c r="M2934" s="65" t="s">
        <v>5897</v>
      </c>
      <c r="N2934" s="65" t="s">
        <v>5898</v>
      </c>
    </row>
    <row r="2935" spans="13:14" x14ac:dyDescent="0.25">
      <c r="M2935" s="65" t="s">
        <v>5899</v>
      </c>
      <c r="N2935" s="65" t="s">
        <v>5900</v>
      </c>
    </row>
    <row r="2936" spans="13:14" x14ac:dyDescent="0.25">
      <c r="M2936" s="65" t="s">
        <v>5901</v>
      </c>
      <c r="N2936" s="65" t="s">
        <v>5902</v>
      </c>
    </row>
    <row r="2937" spans="13:14" x14ac:dyDescent="0.25">
      <c r="M2937" s="65" t="s">
        <v>5903</v>
      </c>
      <c r="N2937" s="65" t="s">
        <v>5904</v>
      </c>
    </row>
    <row r="2938" spans="13:14" x14ac:dyDescent="0.25">
      <c r="M2938" s="65" t="s">
        <v>5905</v>
      </c>
      <c r="N2938" s="65" t="s">
        <v>5906</v>
      </c>
    </row>
    <row r="2939" spans="13:14" x14ac:dyDescent="0.25">
      <c r="M2939" s="65" t="s">
        <v>5907</v>
      </c>
      <c r="N2939" s="65" t="s">
        <v>5908</v>
      </c>
    </row>
    <row r="2940" spans="13:14" x14ac:dyDescent="0.25">
      <c r="M2940" s="65" t="s">
        <v>5909</v>
      </c>
      <c r="N2940" s="65" t="s">
        <v>5910</v>
      </c>
    </row>
    <row r="2941" spans="13:14" x14ac:dyDescent="0.25">
      <c r="M2941" s="65" t="s">
        <v>5911</v>
      </c>
      <c r="N2941" s="65" t="s">
        <v>5912</v>
      </c>
    </row>
    <row r="2942" spans="13:14" x14ac:dyDescent="0.25">
      <c r="M2942" s="65" t="s">
        <v>5913</v>
      </c>
      <c r="N2942" s="65" t="s">
        <v>5914</v>
      </c>
    </row>
    <row r="2943" spans="13:14" x14ac:dyDescent="0.25">
      <c r="M2943" s="65" t="s">
        <v>5915</v>
      </c>
      <c r="N2943" s="65" t="s">
        <v>5916</v>
      </c>
    </row>
    <row r="2944" spans="13:14" x14ac:dyDescent="0.25">
      <c r="M2944" s="65" t="s">
        <v>5917</v>
      </c>
      <c r="N2944" s="65" t="s">
        <v>5918</v>
      </c>
    </row>
    <row r="2945" spans="13:14" x14ac:dyDescent="0.25">
      <c r="M2945" s="65" t="s">
        <v>5919</v>
      </c>
      <c r="N2945" s="65" t="s">
        <v>5920</v>
      </c>
    </row>
    <row r="2946" spans="13:14" x14ac:dyDescent="0.25">
      <c r="M2946" s="65" t="s">
        <v>5921</v>
      </c>
      <c r="N2946" s="65" t="s">
        <v>5922</v>
      </c>
    </row>
    <row r="2947" spans="13:14" x14ac:dyDescent="0.25">
      <c r="M2947" s="65" t="s">
        <v>5923</v>
      </c>
      <c r="N2947" s="65" t="s">
        <v>5924</v>
      </c>
    </row>
    <row r="2948" spans="13:14" x14ac:dyDescent="0.25">
      <c r="M2948" s="65" t="s">
        <v>5925</v>
      </c>
      <c r="N2948" s="65" t="s">
        <v>5926</v>
      </c>
    </row>
    <row r="2949" spans="13:14" x14ac:dyDescent="0.25">
      <c r="M2949" s="65" t="s">
        <v>5927</v>
      </c>
      <c r="N2949" s="65" t="s">
        <v>5928</v>
      </c>
    </row>
    <row r="2950" spans="13:14" x14ac:dyDescent="0.25">
      <c r="M2950" s="65" t="s">
        <v>5929</v>
      </c>
      <c r="N2950" s="65" t="s">
        <v>5930</v>
      </c>
    </row>
    <row r="2951" spans="13:14" x14ac:dyDescent="0.25">
      <c r="M2951" s="65" t="s">
        <v>5931</v>
      </c>
      <c r="N2951" s="65" t="s">
        <v>5932</v>
      </c>
    </row>
    <row r="2952" spans="13:14" x14ac:dyDescent="0.25">
      <c r="M2952" s="65" t="s">
        <v>5933</v>
      </c>
      <c r="N2952" s="65" t="s">
        <v>5934</v>
      </c>
    </row>
    <row r="2953" spans="13:14" x14ac:dyDescent="0.25">
      <c r="M2953" s="65" t="s">
        <v>5935</v>
      </c>
      <c r="N2953" s="65" t="s">
        <v>5936</v>
      </c>
    </row>
    <row r="2954" spans="13:14" x14ac:dyDescent="0.25">
      <c r="M2954" s="65" t="s">
        <v>5937</v>
      </c>
      <c r="N2954" s="65" t="s">
        <v>5938</v>
      </c>
    </row>
    <row r="2955" spans="13:14" x14ac:dyDescent="0.25">
      <c r="M2955" s="65" t="s">
        <v>5939</v>
      </c>
      <c r="N2955" s="65" t="s">
        <v>5940</v>
      </c>
    </row>
    <row r="2956" spans="13:14" x14ac:dyDescent="0.25">
      <c r="M2956" s="65" t="s">
        <v>5941</v>
      </c>
      <c r="N2956" s="65" t="s">
        <v>5942</v>
      </c>
    </row>
    <row r="2957" spans="13:14" x14ac:dyDescent="0.25">
      <c r="M2957" s="65" t="s">
        <v>5943</v>
      </c>
      <c r="N2957" s="65" t="s">
        <v>5944</v>
      </c>
    </row>
    <row r="2958" spans="13:14" x14ac:dyDescent="0.25">
      <c r="M2958" s="65" t="s">
        <v>5945</v>
      </c>
      <c r="N2958" s="65" t="s">
        <v>5946</v>
      </c>
    </row>
    <row r="2959" spans="13:14" x14ac:dyDescent="0.25">
      <c r="M2959" s="65" t="s">
        <v>5947</v>
      </c>
      <c r="N2959" s="65" t="s">
        <v>5948</v>
      </c>
    </row>
    <row r="2960" spans="13:14" x14ac:dyDescent="0.25">
      <c r="M2960" s="65" t="s">
        <v>5949</v>
      </c>
      <c r="N2960" s="65" t="s">
        <v>5950</v>
      </c>
    </row>
    <row r="2961" spans="13:14" x14ac:dyDescent="0.25">
      <c r="M2961" s="65" t="s">
        <v>5951</v>
      </c>
      <c r="N2961" s="65" t="s">
        <v>5952</v>
      </c>
    </row>
    <row r="2962" spans="13:14" x14ac:dyDescent="0.25">
      <c r="M2962" s="65" t="s">
        <v>5953</v>
      </c>
      <c r="N2962" s="65" t="s">
        <v>5954</v>
      </c>
    </row>
    <row r="2963" spans="13:14" x14ac:dyDescent="0.25">
      <c r="M2963" s="65" t="s">
        <v>5955</v>
      </c>
      <c r="N2963" s="65" t="s">
        <v>5956</v>
      </c>
    </row>
    <row r="2964" spans="13:14" x14ac:dyDescent="0.25">
      <c r="M2964" s="65" t="s">
        <v>5957</v>
      </c>
      <c r="N2964" s="65" t="s">
        <v>5958</v>
      </c>
    </row>
    <row r="2965" spans="13:14" x14ac:dyDescent="0.25">
      <c r="M2965" s="65" t="s">
        <v>5959</v>
      </c>
      <c r="N2965" s="65" t="s">
        <v>5960</v>
      </c>
    </row>
    <row r="2966" spans="13:14" x14ac:dyDescent="0.25">
      <c r="M2966" s="65" t="s">
        <v>5961</v>
      </c>
      <c r="N2966" s="65" t="s">
        <v>5962</v>
      </c>
    </row>
    <row r="2967" spans="13:14" x14ac:dyDescent="0.25">
      <c r="M2967" s="65" t="s">
        <v>5963</v>
      </c>
      <c r="N2967" s="65" t="s">
        <v>5964</v>
      </c>
    </row>
    <row r="2968" spans="13:14" x14ac:dyDescent="0.25">
      <c r="M2968" s="65" t="s">
        <v>5965</v>
      </c>
      <c r="N2968" s="65" t="s">
        <v>5966</v>
      </c>
    </row>
    <row r="2969" spans="13:14" x14ac:dyDescent="0.25">
      <c r="M2969" s="65" t="s">
        <v>5967</v>
      </c>
      <c r="N2969" s="65" t="s">
        <v>5968</v>
      </c>
    </row>
    <row r="2970" spans="13:14" x14ac:dyDescent="0.25">
      <c r="M2970" s="65" t="s">
        <v>5969</v>
      </c>
      <c r="N2970" s="65" t="s">
        <v>5970</v>
      </c>
    </row>
    <row r="2971" spans="13:14" x14ac:dyDescent="0.25">
      <c r="M2971" s="65" t="s">
        <v>5971</v>
      </c>
      <c r="N2971" s="65" t="s">
        <v>5972</v>
      </c>
    </row>
    <row r="2972" spans="13:14" x14ac:dyDescent="0.25">
      <c r="M2972" s="65" t="s">
        <v>5973</v>
      </c>
      <c r="N2972" s="65" t="s">
        <v>5974</v>
      </c>
    </row>
    <row r="2973" spans="13:14" x14ac:dyDescent="0.25">
      <c r="M2973" s="65" t="s">
        <v>5975</v>
      </c>
      <c r="N2973" s="65" t="s">
        <v>5976</v>
      </c>
    </row>
    <row r="2974" spans="13:14" x14ac:dyDescent="0.25">
      <c r="M2974" s="65" t="s">
        <v>5977</v>
      </c>
      <c r="N2974" s="65" t="s">
        <v>5978</v>
      </c>
    </row>
    <row r="2975" spans="13:14" x14ac:dyDescent="0.25">
      <c r="M2975" s="65" t="s">
        <v>5979</v>
      </c>
      <c r="N2975" s="65" t="s">
        <v>5980</v>
      </c>
    </row>
    <row r="2976" spans="13:14" x14ac:dyDescent="0.25">
      <c r="M2976" s="65" t="s">
        <v>5981</v>
      </c>
      <c r="N2976" s="65" t="s">
        <v>5982</v>
      </c>
    </row>
    <row r="2977" spans="13:14" x14ac:dyDescent="0.25">
      <c r="M2977" s="65" t="s">
        <v>5983</v>
      </c>
      <c r="N2977" s="65" t="s">
        <v>5984</v>
      </c>
    </row>
    <row r="2978" spans="13:14" x14ac:dyDescent="0.25">
      <c r="M2978" s="65" t="s">
        <v>5985</v>
      </c>
      <c r="N2978" s="65" t="s">
        <v>5986</v>
      </c>
    </row>
    <row r="2979" spans="13:14" x14ac:dyDescent="0.25">
      <c r="M2979" s="65" t="s">
        <v>5987</v>
      </c>
      <c r="N2979" s="65" t="s">
        <v>5988</v>
      </c>
    </row>
    <row r="2980" spans="13:14" x14ac:dyDescent="0.25">
      <c r="M2980" s="65" t="s">
        <v>5989</v>
      </c>
      <c r="N2980" s="65" t="s">
        <v>5990</v>
      </c>
    </row>
    <row r="2981" spans="13:14" x14ac:dyDescent="0.25">
      <c r="M2981" s="65" t="s">
        <v>5991</v>
      </c>
      <c r="N2981" s="65" t="s">
        <v>5992</v>
      </c>
    </row>
    <row r="2982" spans="13:14" x14ac:dyDescent="0.25">
      <c r="M2982" s="65" t="s">
        <v>5993</v>
      </c>
      <c r="N2982" s="65" t="s">
        <v>5994</v>
      </c>
    </row>
    <row r="2983" spans="13:14" x14ac:dyDescent="0.25">
      <c r="M2983" s="65" t="s">
        <v>5995</v>
      </c>
      <c r="N2983" s="65" t="s">
        <v>5996</v>
      </c>
    </row>
    <row r="2984" spans="13:14" x14ac:dyDescent="0.25">
      <c r="M2984" s="65" t="s">
        <v>5997</v>
      </c>
      <c r="N2984" s="65" t="s">
        <v>5998</v>
      </c>
    </row>
    <row r="2985" spans="13:14" x14ac:dyDescent="0.25">
      <c r="M2985" s="65" t="s">
        <v>5999</v>
      </c>
      <c r="N2985" s="65" t="s">
        <v>6000</v>
      </c>
    </row>
    <row r="2986" spans="13:14" x14ac:dyDescent="0.25">
      <c r="M2986" s="65" t="s">
        <v>6001</v>
      </c>
      <c r="N2986" s="65" t="s">
        <v>6002</v>
      </c>
    </row>
    <row r="2987" spans="13:14" x14ac:dyDescent="0.25">
      <c r="M2987" s="65" t="s">
        <v>6003</v>
      </c>
      <c r="N2987" s="65" t="s">
        <v>6004</v>
      </c>
    </row>
    <row r="2988" spans="13:14" x14ac:dyDescent="0.25">
      <c r="M2988" s="65" t="s">
        <v>6005</v>
      </c>
      <c r="N2988" s="65" t="s">
        <v>6006</v>
      </c>
    </row>
    <row r="2989" spans="13:14" x14ac:dyDescent="0.25">
      <c r="M2989" s="65" t="s">
        <v>6007</v>
      </c>
      <c r="N2989" s="65" t="s">
        <v>6008</v>
      </c>
    </row>
    <row r="2990" spans="13:14" x14ac:dyDescent="0.25">
      <c r="M2990" s="65" t="s">
        <v>6009</v>
      </c>
      <c r="N2990" s="65" t="s">
        <v>6010</v>
      </c>
    </row>
    <row r="2991" spans="13:14" x14ac:dyDescent="0.25">
      <c r="M2991" s="65" t="s">
        <v>6011</v>
      </c>
      <c r="N2991" s="65" t="s">
        <v>6012</v>
      </c>
    </row>
    <row r="2992" spans="13:14" x14ac:dyDescent="0.25">
      <c r="M2992" s="65" t="s">
        <v>6013</v>
      </c>
      <c r="N2992" s="65" t="s">
        <v>6014</v>
      </c>
    </row>
    <row r="2993" spans="13:14" x14ac:dyDescent="0.25">
      <c r="M2993" s="65" t="s">
        <v>6015</v>
      </c>
      <c r="N2993" s="65" t="s">
        <v>6016</v>
      </c>
    </row>
    <row r="2994" spans="13:14" x14ac:dyDescent="0.25">
      <c r="M2994" s="65" t="s">
        <v>6017</v>
      </c>
      <c r="N2994" s="65" t="s">
        <v>6018</v>
      </c>
    </row>
    <row r="2995" spans="13:14" x14ac:dyDescent="0.25">
      <c r="M2995" s="65" t="s">
        <v>6019</v>
      </c>
      <c r="N2995" s="65" t="s">
        <v>6020</v>
      </c>
    </row>
    <row r="2996" spans="13:14" x14ac:dyDescent="0.25">
      <c r="M2996" s="65" t="s">
        <v>6021</v>
      </c>
      <c r="N2996" s="65" t="s">
        <v>6022</v>
      </c>
    </row>
    <row r="2997" spans="13:14" x14ac:dyDescent="0.25">
      <c r="M2997" s="65" t="s">
        <v>6023</v>
      </c>
      <c r="N2997" s="65" t="s">
        <v>6024</v>
      </c>
    </row>
    <row r="2998" spans="13:14" x14ac:dyDescent="0.25">
      <c r="M2998" s="65" t="s">
        <v>6025</v>
      </c>
      <c r="N2998" s="65" t="s">
        <v>6026</v>
      </c>
    </row>
    <row r="2999" spans="13:14" x14ac:dyDescent="0.25">
      <c r="M2999" s="65" t="s">
        <v>6027</v>
      </c>
      <c r="N2999" s="65" t="s">
        <v>6028</v>
      </c>
    </row>
    <row r="3000" spans="13:14" x14ac:dyDescent="0.25">
      <c r="M3000" s="65" t="s">
        <v>6029</v>
      </c>
      <c r="N3000" s="65" t="s">
        <v>6030</v>
      </c>
    </row>
    <row r="3001" spans="13:14" x14ac:dyDescent="0.25">
      <c r="M3001" s="65" t="s">
        <v>6031</v>
      </c>
      <c r="N3001" s="65" t="s">
        <v>6032</v>
      </c>
    </row>
    <row r="3002" spans="13:14" x14ac:dyDescent="0.25">
      <c r="M3002" s="65" t="s">
        <v>6033</v>
      </c>
      <c r="N3002" s="65" t="s">
        <v>6034</v>
      </c>
    </row>
    <row r="3003" spans="13:14" x14ac:dyDescent="0.25">
      <c r="M3003" s="65" t="s">
        <v>6035</v>
      </c>
      <c r="N3003" s="65" t="s">
        <v>6036</v>
      </c>
    </row>
    <row r="3004" spans="13:14" x14ac:dyDescent="0.25">
      <c r="M3004" s="65" t="s">
        <v>6037</v>
      </c>
      <c r="N3004" s="65" t="s">
        <v>6038</v>
      </c>
    </row>
    <row r="3005" spans="13:14" x14ac:dyDescent="0.25">
      <c r="M3005" s="65" t="s">
        <v>6039</v>
      </c>
      <c r="N3005" s="65" t="s">
        <v>6040</v>
      </c>
    </row>
    <row r="3006" spans="13:14" x14ac:dyDescent="0.25">
      <c r="M3006" s="65" t="s">
        <v>6041</v>
      </c>
      <c r="N3006" s="65" t="s">
        <v>6042</v>
      </c>
    </row>
    <row r="3007" spans="13:14" x14ac:dyDescent="0.25">
      <c r="M3007" s="65" t="s">
        <v>6043</v>
      </c>
      <c r="N3007" s="65" t="s">
        <v>6044</v>
      </c>
    </row>
    <row r="3008" spans="13:14" x14ac:dyDescent="0.25">
      <c r="M3008" s="65" t="s">
        <v>6045</v>
      </c>
      <c r="N3008" s="65" t="s">
        <v>6046</v>
      </c>
    </row>
    <row r="3009" spans="13:14" x14ac:dyDescent="0.25">
      <c r="M3009" s="65" t="s">
        <v>6047</v>
      </c>
      <c r="N3009" s="65" t="s">
        <v>6048</v>
      </c>
    </row>
    <row r="3010" spans="13:14" x14ac:dyDescent="0.25">
      <c r="M3010" s="65" t="s">
        <v>6049</v>
      </c>
      <c r="N3010" s="65" t="s">
        <v>6050</v>
      </c>
    </row>
    <row r="3011" spans="13:14" x14ac:dyDescent="0.25">
      <c r="M3011" s="65" t="s">
        <v>6051</v>
      </c>
      <c r="N3011" s="65" t="s">
        <v>6052</v>
      </c>
    </row>
    <row r="3012" spans="13:14" x14ac:dyDescent="0.25">
      <c r="M3012" s="65" t="s">
        <v>6053</v>
      </c>
      <c r="N3012" s="65" t="s">
        <v>6054</v>
      </c>
    </row>
    <row r="3013" spans="13:14" x14ac:dyDescent="0.25">
      <c r="M3013" s="65" t="s">
        <v>6055</v>
      </c>
      <c r="N3013" s="65" t="s">
        <v>6056</v>
      </c>
    </row>
    <row r="3014" spans="13:14" x14ac:dyDescent="0.25">
      <c r="M3014" s="65" t="s">
        <v>6057</v>
      </c>
      <c r="N3014" s="65" t="s">
        <v>6058</v>
      </c>
    </row>
    <row r="3015" spans="13:14" x14ac:dyDescent="0.25">
      <c r="M3015" s="65" t="s">
        <v>6059</v>
      </c>
      <c r="N3015" s="65" t="s">
        <v>6060</v>
      </c>
    </row>
    <row r="3016" spans="13:14" x14ac:dyDescent="0.25">
      <c r="M3016" s="65" t="s">
        <v>6061</v>
      </c>
      <c r="N3016" s="65" t="s">
        <v>6062</v>
      </c>
    </row>
    <row r="3017" spans="13:14" x14ac:dyDescent="0.25">
      <c r="M3017" s="65" t="s">
        <v>6063</v>
      </c>
      <c r="N3017" s="65" t="s">
        <v>6064</v>
      </c>
    </row>
    <row r="3018" spans="13:14" x14ac:dyDescent="0.25">
      <c r="M3018" s="65" t="s">
        <v>6065</v>
      </c>
      <c r="N3018" s="65" t="s">
        <v>6066</v>
      </c>
    </row>
    <row r="3019" spans="13:14" x14ac:dyDescent="0.25">
      <c r="M3019" s="65" t="s">
        <v>6067</v>
      </c>
      <c r="N3019" s="65" t="s">
        <v>6068</v>
      </c>
    </row>
    <row r="3020" spans="13:14" x14ac:dyDescent="0.25">
      <c r="M3020" s="65" t="s">
        <v>6069</v>
      </c>
      <c r="N3020" s="65" t="s">
        <v>6070</v>
      </c>
    </row>
    <row r="3021" spans="13:14" x14ac:dyDescent="0.25">
      <c r="M3021" s="65" t="s">
        <v>6071</v>
      </c>
      <c r="N3021" s="65" t="s">
        <v>6072</v>
      </c>
    </row>
    <row r="3022" spans="13:14" x14ac:dyDescent="0.25">
      <c r="M3022" s="65" t="s">
        <v>6073</v>
      </c>
      <c r="N3022" s="65" t="s">
        <v>6074</v>
      </c>
    </row>
    <row r="3023" spans="13:14" x14ac:dyDescent="0.25">
      <c r="M3023" s="65" t="s">
        <v>6075</v>
      </c>
      <c r="N3023" s="65" t="s">
        <v>6076</v>
      </c>
    </row>
    <row r="3024" spans="13:14" x14ac:dyDescent="0.25">
      <c r="M3024" s="65" t="s">
        <v>6077</v>
      </c>
      <c r="N3024" s="65" t="s">
        <v>6078</v>
      </c>
    </row>
    <row r="3025" spans="13:14" x14ac:dyDescent="0.25">
      <c r="M3025" s="65" t="s">
        <v>6079</v>
      </c>
      <c r="N3025" s="65" t="s">
        <v>6080</v>
      </c>
    </row>
    <row r="3026" spans="13:14" x14ac:dyDescent="0.25">
      <c r="M3026" s="65" t="s">
        <v>6081</v>
      </c>
      <c r="N3026" s="65" t="s">
        <v>6082</v>
      </c>
    </row>
    <row r="3027" spans="13:14" x14ac:dyDescent="0.25">
      <c r="M3027" s="65" t="s">
        <v>6083</v>
      </c>
      <c r="N3027" s="65" t="s">
        <v>6084</v>
      </c>
    </row>
    <row r="3028" spans="13:14" x14ac:dyDescent="0.25">
      <c r="M3028" s="65" t="s">
        <v>6085</v>
      </c>
      <c r="N3028" s="65" t="s">
        <v>6086</v>
      </c>
    </row>
    <row r="3029" spans="13:14" x14ac:dyDescent="0.25">
      <c r="M3029" s="65" t="s">
        <v>6087</v>
      </c>
      <c r="N3029" s="65" t="s">
        <v>6088</v>
      </c>
    </row>
    <row r="3030" spans="13:14" x14ac:dyDescent="0.25">
      <c r="M3030" s="65" t="s">
        <v>6089</v>
      </c>
      <c r="N3030" s="65" t="s">
        <v>6090</v>
      </c>
    </row>
    <row r="3031" spans="13:14" x14ac:dyDescent="0.25">
      <c r="M3031" s="65" t="s">
        <v>6091</v>
      </c>
      <c r="N3031" s="65" t="s">
        <v>6092</v>
      </c>
    </row>
    <row r="3032" spans="13:14" x14ac:dyDescent="0.25">
      <c r="M3032" s="65" t="s">
        <v>6093</v>
      </c>
      <c r="N3032" s="65" t="s">
        <v>6094</v>
      </c>
    </row>
    <row r="3033" spans="13:14" x14ac:dyDescent="0.25">
      <c r="M3033" s="65" t="s">
        <v>6095</v>
      </c>
      <c r="N3033" s="65" t="s">
        <v>6096</v>
      </c>
    </row>
    <row r="3034" spans="13:14" x14ac:dyDescent="0.25">
      <c r="M3034" s="65" t="s">
        <v>6097</v>
      </c>
      <c r="N3034" s="65" t="s">
        <v>6098</v>
      </c>
    </row>
    <row r="3035" spans="13:14" x14ac:dyDescent="0.25">
      <c r="M3035" s="65" t="s">
        <v>6099</v>
      </c>
      <c r="N3035" s="65" t="s">
        <v>6100</v>
      </c>
    </row>
    <row r="3036" spans="13:14" x14ac:dyDescent="0.25">
      <c r="M3036" s="65" t="s">
        <v>6101</v>
      </c>
      <c r="N3036" s="65" t="s">
        <v>6102</v>
      </c>
    </row>
    <row r="3037" spans="13:14" x14ac:dyDescent="0.25">
      <c r="M3037" s="65" t="s">
        <v>6103</v>
      </c>
      <c r="N3037" s="65" t="s">
        <v>6104</v>
      </c>
    </row>
    <row r="3038" spans="13:14" x14ac:dyDescent="0.25">
      <c r="M3038" s="65" t="s">
        <v>6105</v>
      </c>
      <c r="N3038" s="65" t="s">
        <v>6106</v>
      </c>
    </row>
    <row r="3039" spans="13:14" x14ac:dyDescent="0.25">
      <c r="M3039" s="65" t="s">
        <v>6107</v>
      </c>
      <c r="N3039" s="65" t="s">
        <v>6108</v>
      </c>
    </row>
    <row r="3040" spans="13:14" x14ac:dyDescent="0.25">
      <c r="M3040" s="65" t="s">
        <v>6109</v>
      </c>
      <c r="N3040" s="65" t="s">
        <v>6110</v>
      </c>
    </row>
    <row r="3041" spans="13:14" x14ac:dyDescent="0.25">
      <c r="M3041" s="65" t="s">
        <v>6111</v>
      </c>
      <c r="N3041" s="65" t="s">
        <v>6112</v>
      </c>
    </row>
    <row r="3042" spans="13:14" x14ac:dyDescent="0.25">
      <c r="M3042" s="65" t="s">
        <v>6113</v>
      </c>
      <c r="N3042" s="65" t="s">
        <v>6114</v>
      </c>
    </row>
    <row r="3043" spans="13:14" x14ac:dyDescent="0.25">
      <c r="M3043" s="65" t="s">
        <v>6115</v>
      </c>
      <c r="N3043" s="65" t="s">
        <v>6116</v>
      </c>
    </row>
    <row r="3044" spans="13:14" x14ac:dyDescent="0.25">
      <c r="M3044" s="65" t="s">
        <v>6117</v>
      </c>
      <c r="N3044" s="65" t="s">
        <v>6118</v>
      </c>
    </row>
    <row r="3045" spans="13:14" x14ac:dyDescent="0.25">
      <c r="M3045" s="65" t="s">
        <v>6119</v>
      </c>
      <c r="N3045" s="65" t="s">
        <v>6120</v>
      </c>
    </row>
    <row r="3046" spans="13:14" x14ac:dyDescent="0.25">
      <c r="M3046" s="65" t="s">
        <v>6121</v>
      </c>
      <c r="N3046" s="65" t="s">
        <v>6122</v>
      </c>
    </row>
    <row r="3047" spans="13:14" x14ac:dyDescent="0.25">
      <c r="M3047" s="65" t="s">
        <v>6123</v>
      </c>
      <c r="N3047" s="65" t="s">
        <v>6124</v>
      </c>
    </row>
    <row r="3048" spans="13:14" x14ac:dyDescent="0.25">
      <c r="M3048" s="65" t="s">
        <v>6125</v>
      </c>
      <c r="N3048" s="65" t="s">
        <v>6126</v>
      </c>
    </row>
    <row r="3049" spans="13:14" x14ac:dyDescent="0.25">
      <c r="M3049" s="65" t="s">
        <v>6127</v>
      </c>
      <c r="N3049" s="65" t="s">
        <v>6128</v>
      </c>
    </row>
    <row r="3050" spans="13:14" x14ac:dyDescent="0.25">
      <c r="M3050" s="65" t="s">
        <v>6129</v>
      </c>
      <c r="N3050" s="65" t="s">
        <v>6130</v>
      </c>
    </row>
    <row r="3051" spans="13:14" x14ac:dyDescent="0.25">
      <c r="M3051" s="65" t="s">
        <v>6131</v>
      </c>
      <c r="N3051" s="65" t="s">
        <v>6132</v>
      </c>
    </row>
    <row r="3052" spans="13:14" x14ac:dyDescent="0.25">
      <c r="M3052" s="65" t="s">
        <v>6133</v>
      </c>
      <c r="N3052" s="65" t="s">
        <v>6134</v>
      </c>
    </row>
    <row r="3053" spans="13:14" x14ac:dyDescent="0.25">
      <c r="M3053" s="65" t="s">
        <v>6135</v>
      </c>
      <c r="N3053" s="65" t="s">
        <v>6136</v>
      </c>
    </row>
    <row r="3054" spans="13:14" x14ac:dyDescent="0.25">
      <c r="M3054" s="65" t="s">
        <v>6137</v>
      </c>
      <c r="N3054" s="65" t="s">
        <v>6138</v>
      </c>
    </row>
    <row r="3055" spans="13:14" x14ac:dyDescent="0.25">
      <c r="M3055" s="65" t="s">
        <v>6139</v>
      </c>
      <c r="N3055" s="65" t="s">
        <v>6140</v>
      </c>
    </row>
    <row r="3056" spans="13:14" x14ac:dyDescent="0.25">
      <c r="M3056" s="65" t="s">
        <v>6141</v>
      </c>
      <c r="N3056" s="65" t="s">
        <v>6142</v>
      </c>
    </row>
    <row r="3057" spans="13:14" x14ac:dyDescent="0.25">
      <c r="M3057" s="65" t="s">
        <v>6143</v>
      </c>
      <c r="N3057" s="65" t="s">
        <v>6144</v>
      </c>
    </row>
    <row r="3058" spans="13:14" x14ac:dyDescent="0.25">
      <c r="M3058" s="65" t="s">
        <v>6145</v>
      </c>
      <c r="N3058" s="65" t="s">
        <v>6146</v>
      </c>
    </row>
    <row r="3059" spans="13:14" x14ac:dyDescent="0.25">
      <c r="M3059" s="65" t="s">
        <v>6147</v>
      </c>
      <c r="N3059" s="65" t="s">
        <v>6148</v>
      </c>
    </row>
    <row r="3060" spans="13:14" x14ac:dyDescent="0.25">
      <c r="M3060" s="65" t="s">
        <v>6149</v>
      </c>
      <c r="N3060" s="65" t="s">
        <v>6150</v>
      </c>
    </row>
    <row r="3061" spans="13:14" x14ac:dyDescent="0.25">
      <c r="M3061" s="65" t="s">
        <v>6151</v>
      </c>
      <c r="N3061" s="65" t="s">
        <v>6152</v>
      </c>
    </row>
    <row r="3062" spans="13:14" x14ac:dyDescent="0.25">
      <c r="M3062" s="65" t="s">
        <v>6153</v>
      </c>
      <c r="N3062" s="65" t="s">
        <v>6154</v>
      </c>
    </row>
    <row r="3063" spans="13:14" x14ac:dyDescent="0.25">
      <c r="M3063" s="65" t="s">
        <v>6155</v>
      </c>
      <c r="N3063" s="65" t="s">
        <v>6156</v>
      </c>
    </row>
    <row r="3064" spans="13:14" x14ac:dyDescent="0.25">
      <c r="M3064" s="65" t="s">
        <v>6157</v>
      </c>
      <c r="N3064" s="65" t="s">
        <v>6158</v>
      </c>
    </row>
    <row r="3065" spans="13:14" x14ac:dyDescent="0.25">
      <c r="M3065" s="65" t="s">
        <v>6159</v>
      </c>
      <c r="N3065" s="65" t="s">
        <v>6160</v>
      </c>
    </row>
    <row r="3066" spans="13:14" x14ac:dyDescent="0.25">
      <c r="M3066" s="65" t="s">
        <v>6161</v>
      </c>
      <c r="N3066" s="65" t="s">
        <v>6162</v>
      </c>
    </row>
    <row r="3067" spans="13:14" x14ac:dyDescent="0.25">
      <c r="M3067" s="65" t="s">
        <v>6163</v>
      </c>
      <c r="N3067" s="65" t="s">
        <v>6164</v>
      </c>
    </row>
    <row r="3068" spans="13:14" x14ac:dyDescent="0.25">
      <c r="M3068" s="65" t="s">
        <v>6165</v>
      </c>
      <c r="N3068" s="65" t="s">
        <v>6166</v>
      </c>
    </row>
    <row r="3069" spans="13:14" x14ac:dyDescent="0.25">
      <c r="M3069" s="65" t="s">
        <v>6195</v>
      </c>
      <c r="N3069" s="65" t="s">
        <v>6196</v>
      </c>
    </row>
    <row r="3070" spans="13:14" x14ac:dyDescent="0.25">
      <c r="M3070" s="65" t="s">
        <v>6197</v>
      </c>
      <c r="N3070" s="65" t="s">
        <v>6198</v>
      </c>
    </row>
    <row r="3071" spans="13:14" x14ac:dyDescent="0.25">
      <c r="M3071" s="65" t="s">
        <v>6199</v>
      </c>
      <c r="N3071" s="65" t="s">
        <v>6200</v>
      </c>
    </row>
    <row r="3072" spans="13:14" x14ac:dyDescent="0.25">
      <c r="M3072" s="65" t="s">
        <v>6201</v>
      </c>
      <c r="N3072" s="65" t="s">
        <v>6202</v>
      </c>
    </row>
    <row r="3073" spans="13:14" x14ac:dyDescent="0.25">
      <c r="M3073" s="65" t="s">
        <v>6203</v>
      </c>
      <c r="N3073" s="65" t="s">
        <v>6204</v>
      </c>
    </row>
    <row r="3074" spans="13:14" x14ac:dyDescent="0.25">
      <c r="M3074" s="65" t="s">
        <v>6205</v>
      </c>
      <c r="N3074" s="65" t="s">
        <v>6206</v>
      </c>
    </row>
    <row r="3075" spans="13:14" x14ac:dyDescent="0.25">
      <c r="M3075" s="65" t="s">
        <v>6207</v>
      </c>
      <c r="N3075" s="65" t="s">
        <v>6208</v>
      </c>
    </row>
    <row r="3076" spans="13:14" x14ac:dyDescent="0.25">
      <c r="M3076" s="65" t="s">
        <v>6209</v>
      </c>
      <c r="N3076" s="65" t="s">
        <v>6210</v>
      </c>
    </row>
    <row r="3077" spans="13:14" x14ac:dyDescent="0.25">
      <c r="M3077" s="65" t="s">
        <v>6211</v>
      </c>
      <c r="N3077" s="65" t="s">
        <v>6212</v>
      </c>
    </row>
    <row r="3078" spans="13:14" x14ac:dyDescent="0.25">
      <c r="M3078" s="65" t="s">
        <v>6213</v>
      </c>
      <c r="N3078" s="65" t="s">
        <v>6214</v>
      </c>
    </row>
    <row r="3079" spans="13:14" x14ac:dyDescent="0.25">
      <c r="M3079" s="65" t="s">
        <v>6215</v>
      </c>
      <c r="N3079" s="65" t="s">
        <v>6216</v>
      </c>
    </row>
    <row r="3080" spans="13:14" x14ac:dyDescent="0.25">
      <c r="M3080" s="65" t="s">
        <v>6217</v>
      </c>
      <c r="N3080" s="65" t="s">
        <v>6218</v>
      </c>
    </row>
    <row r="3081" spans="13:14" x14ac:dyDescent="0.25">
      <c r="M3081" s="65" t="s">
        <v>6219</v>
      </c>
      <c r="N3081" s="65" t="s">
        <v>6220</v>
      </c>
    </row>
    <row r="3082" spans="13:14" x14ac:dyDescent="0.25">
      <c r="M3082" s="65" t="s">
        <v>6221</v>
      </c>
      <c r="N3082" s="65" t="s">
        <v>6222</v>
      </c>
    </row>
    <row r="3083" spans="13:14" x14ac:dyDescent="0.25">
      <c r="M3083" s="65" t="s">
        <v>6223</v>
      </c>
      <c r="N3083" s="65" t="s">
        <v>6224</v>
      </c>
    </row>
    <row r="3084" spans="13:14" x14ac:dyDescent="0.25">
      <c r="M3084" s="65" t="s">
        <v>6225</v>
      </c>
      <c r="N3084" s="65" t="s">
        <v>6226</v>
      </c>
    </row>
    <row r="3085" spans="13:14" x14ac:dyDescent="0.25">
      <c r="M3085" s="65" t="s">
        <v>6227</v>
      </c>
      <c r="N3085" s="65" t="s">
        <v>6228</v>
      </c>
    </row>
    <row r="3086" spans="13:14" x14ac:dyDescent="0.25">
      <c r="M3086" s="65" t="s">
        <v>6229</v>
      </c>
      <c r="N3086" s="65" t="s">
        <v>6230</v>
      </c>
    </row>
    <row r="3087" spans="13:14" x14ac:dyDescent="0.25">
      <c r="M3087" s="65" t="s">
        <v>6231</v>
      </c>
      <c r="N3087" s="65" t="s">
        <v>6232</v>
      </c>
    </row>
    <row r="3088" spans="13:14" x14ac:dyDescent="0.25">
      <c r="M3088" s="65" t="s">
        <v>6233</v>
      </c>
      <c r="N3088" s="65" t="s">
        <v>6234</v>
      </c>
    </row>
    <row r="3089" spans="13:14" x14ac:dyDescent="0.25">
      <c r="M3089" s="65" t="s">
        <v>6235</v>
      </c>
      <c r="N3089" s="65" t="s">
        <v>6236</v>
      </c>
    </row>
    <row r="3090" spans="13:14" x14ac:dyDescent="0.25">
      <c r="M3090" s="65" t="s">
        <v>6237</v>
      </c>
      <c r="N3090" s="65" t="s">
        <v>6238</v>
      </c>
    </row>
    <row r="3091" spans="13:14" x14ac:dyDescent="0.25">
      <c r="M3091" s="65" t="s">
        <v>6239</v>
      </c>
      <c r="N3091" s="65" t="s">
        <v>6240</v>
      </c>
    </row>
    <row r="3092" spans="13:14" x14ac:dyDescent="0.25">
      <c r="M3092" s="65" t="s">
        <v>6241</v>
      </c>
      <c r="N3092" s="65" t="s">
        <v>6242</v>
      </c>
    </row>
    <row r="3093" spans="13:14" x14ac:dyDescent="0.25">
      <c r="M3093" s="65" t="s">
        <v>6243</v>
      </c>
      <c r="N3093" s="65" t="s">
        <v>6244</v>
      </c>
    </row>
    <row r="3094" spans="13:14" x14ac:dyDescent="0.25">
      <c r="M3094" s="65" t="s">
        <v>6245</v>
      </c>
      <c r="N3094" s="65" t="s">
        <v>6246</v>
      </c>
    </row>
    <row r="3095" spans="13:14" x14ac:dyDescent="0.25">
      <c r="M3095" s="65" t="s">
        <v>6247</v>
      </c>
      <c r="N3095" s="65" t="s">
        <v>6248</v>
      </c>
    </row>
    <row r="3096" spans="13:14" x14ac:dyDescent="0.25">
      <c r="M3096" s="65" t="s">
        <v>6249</v>
      </c>
      <c r="N3096" s="65" t="s">
        <v>6250</v>
      </c>
    </row>
    <row r="3097" spans="13:14" x14ac:dyDescent="0.25">
      <c r="M3097" s="65" t="s">
        <v>6251</v>
      </c>
      <c r="N3097" s="65" t="s">
        <v>6252</v>
      </c>
    </row>
    <row r="3098" spans="13:14" x14ac:dyDescent="0.25">
      <c r="M3098" s="65" t="s">
        <v>6253</v>
      </c>
      <c r="N3098" s="65" t="s">
        <v>6254</v>
      </c>
    </row>
    <row r="3099" spans="13:14" x14ac:dyDescent="0.25">
      <c r="M3099" s="65" t="s">
        <v>6255</v>
      </c>
      <c r="N3099" s="65" t="s">
        <v>6256</v>
      </c>
    </row>
    <row r="3100" spans="13:14" x14ac:dyDescent="0.25">
      <c r="M3100" s="65" t="s">
        <v>6257</v>
      </c>
      <c r="N3100" s="65" t="s">
        <v>6258</v>
      </c>
    </row>
    <row r="3101" spans="13:14" x14ac:dyDescent="0.25">
      <c r="M3101" s="65" t="s">
        <v>6259</v>
      </c>
      <c r="N3101" s="65" t="s">
        <v>6260</v>
      </c>
    </row>
    <row r="3102" spans="13:14" x14ac:dyDescent="0.25">
      <c r="M3102" s="65" t="s">
        <v>6261</v>
      </c>
      <c r="N3102" s="65" t="s">
        <v>6262</v>
      </c>
    </row>
    <row r="3103" spans="13:14" x14ac:dyDescent="0.25">
      <c r="M3103" s="65" t="s">
        <v>6263</v>
      </c>
      <c r="N3103" s="65" t="s">
        <v>6264</v>
      </c>
    </row>
    <row r="3104" spans="13:14" x14ac:dyDescent="0.25">
      <c r="M3104" s="65" t="s">
        <v>6265</v>
      </c>
      <c r="N3104" s="65" t="s">
        <v>6266</v>
      </c>
    </row>
    <row r="3105" spans="13:14" x14ac:dyDescent="0.25">
      <c r="M3105" s="65" t="s">
        <v>6267</v>
      </c>
      <c r="N3105" s="65" t="s">
        <v>6268</v>
      </c>
    </row>
    <row r="3106" spans="13:14" x14ac:dyDescent="0.25">
      <c r="M3106" s="65" t="s">
        <v>6269</v>
      </c>
      <c r="N3106" s="65" t="s">
        <v>6270</v>
      </c>
    </row>
    <row r="3107" spans="13:14" x14ac:dyDescent="0.25">
      <c r="M3107" s="65" t="s">
        <v>6271</v>
      </c>
      <c r="N3107" s="65" t="s">
        <v>6272</v>
      </c>
    </row>
    <row r="3108" spans="13:14" x14ac:dyDescent="0.25">
      <c r="M3108" s="65" t="s">
        <v>6273</v>
      </c>
      <c r="N3108" s="65" t="s">
        <v>6274</v>
      </c>
    </row>
    <row r="3109" spans="13:14" x14ac:dyDescent="0.25">
      <c r="M3109" s="65" t="s">
        <v>6275</v>
      </c>
      <c r="N3109" s="65" t="s">
        <v>6276</v>
      </c>
    </row>
    <row r="3110" spans="13:14" x14ac:dyDescent="0.25">
      <c r="M3110" s="65" t="s">
        <v>6277</v>
      </c>
      <c r="N3110" s="65" t="s">
        <v>6278</v>
      </c>
    </row>
    <row r="3111" spans="13:14" x14ac:dyDescent="0.25">
      <c r="M3111" s="65" t="s">
        <v>6279</v>
      </c>
      <c r="N3111" s="65" t="s">
        <v>6280</v>
      </c>
    </row>
    <row r="3112" spans="13:14" x14ac:dyDescent="0.25">
      <c r="M3112" s="65" t="s">
        <v>6281</v>
      </c>
      <c r="N3112" s="65" t="s">
        <v>6282</v>
      </c>
    </row>
    <row r="3113" spans="13:14" x14ac:dyDescent="0.25">
      <c r="M3113" s="65" t="s">
        <v>6283</v>
      </c>
      <c r="N3113" s="65" t="s">
        <v>6284</v>
      </c>
    </row>
    <row r="3114" spans="13:14" x14ac:dyDescent="0.25">
      <c r="M3114" s="65" t="s">
        <v>6285</v>
      </c>
      <c r="N3114" s="65" t="s">
        <v>6286</v>
      </c>
    </row>
    <row r="3115" spans="13:14" x14ac:dyDescent="0.25">
      <c r="M3115" s="65" t="s">
        <v>6287</v>
      </c>
      <c r="N3115" s="65" t="s">
        <v>6288</v>
      </c>
    </row>
    <row r="3116" spans="13:14" x14ac:dyDescent="0.25">
      <c r="M3116" s="65" t="s">
        <v>6289</v>
      </c>
      <c r="N3116" s="65" t="s">
        <v>6290</v>
      </c>
    </row>
    <row r="3117" spans="13:14" x14ac:dyDescent="0.25">
      <c r="M3117" s="65" t="s">
        <v>6291</v>
      </c>
      <c r="N3117" s="65" t="s">
        <v>6292</v>
      </c>
    </row>
    <row r="3118" spans="13:14" x14ac:dyDescent="0.25">
      <c r="M3118" s="65" t="s">
        <v>6293</v>
      </c>
      <c r="N3118" s="65" t="s">
        <v>6294</v>
      </c>
    </row>
    <row r="3119" spans="13:14" x14ac:dyDescent="0.25">
      <c r="M3119" s="65" t="s">
        <v>6295</v>
      </c>
      <c r="N3119" s="65" t="s">
        <v>6296</v>
      </c>
    </row>
    <row r="3120" spans="13:14" x14ac:dyDescent="0.25">
      <c r="M3120" s="65" t="s">
        <v>6297</v>
      </c>
      <c r="N3120" s="65" t="s">
        <v>6298</v>
      </c>
    </row>
    <row r="3121" spans="13:14" x14ac:dyDescent="0.25">
      <c r="M3121" s="65" t="s">
        <v>6299</v>
      </c>
      <c r="N3121" s="65" t="s">
        <v>6300</v>
      </c>
    </row>
    <row r="3122" spans="13:14" x14ac:dyDescent="0.25">
      <c r="M3122" s="65" t="s">
        <v>6301</v>
      </c>
      <c r="N3122" s="65" t="s">
        <v>6302</v>
      </c>
    </row>
    <row r="3123" spans="13:14" x14ac:dyDescent="0.25">
      <c r="M3123" s="65" t="s">
        <v>6303</v>
      </c>
      <c r="N3123" s="65" t="s">
        <v>6304</v>
      </c>
    </row>
    <row r="3124" spans="13:14" x14ac:dyDescent="0.25">
      <c r="M3124" s="65" t="s">
        <v>6305</v>
      </c>
      <c r="N3124" s="65" t="s">
        <v>6306</v>
      </c>
    </row>
    <row r="3125" spans="13:14" x14ac:dyDescent="0.25">
      <c r="M3125" s="65" t="s">
        <v>6307</v>
      </c>
      <c r="N3125" s="65" t="s">
        <v>6308</v>
      </c>
    </row>
    <row r="3126" spans="13:14" x14ac:dyDescent="0.25">
      <c r="M3126" s="65" t="s">
        <v>6309</v>
      </c>
      <c r="N3126" s="65" t="s">
        <v>6310</v>
      </c>
    </row>
    <row r="3127" spans="13:14" x14ac:dyDescent="0.25">
      <c r="M3127" s="65" t="s">
        <v>6311</v>
      </c>
      <c r="N3127" s="65" t="s">
        <v>6312</v>
      </c>
    </row>
    <row r="3128" spans="13:14" x14ac:dyDescent="0.25">
      <c r="M3128" s="65" t="s">
        <v>6313</v>
      </c>
      <c r="N3128" s="65" t="s">
        <v>6314</v>
      </c>
    </row>
    <row r="3129" spans="13:14" x14ac:dyDescent="0.25">
      <c r="M3129" s="65" t="s">
        <v>6315</v>
      </c>
      <c r="N3129" s="65" t="s">
        <v>6316</v>
      </c>
    </row>
    <row r="3130" spans="13:14" x14ac:dyDescent="0.25">
      <c r="M3130" s="65" t="s">
        <v>6317</v>
      </c>
      <c r="N3130" s="65" t="s">
        <v>6318</v>
      </c>
    </row>
    <row r="3131" spans="13:14" x14ac:dyDescent="0.25">
      <c r="M3131" s="65" t="s">
        <v>6319</v>
      </c>
      <c r="N3131" s="65" t="s">
        <v>6320</v>
      </c>
    </row>
    <row r="3132" spans="13:14" x14ac:dyDescent="0.25">
      <c r="M3132" s="65" t="s">
        <v>6321</v>
      </c>
      <c r="N3132" s="65" t="s">
        <v>6322</v>
      </c>
    </row>
    <row r="3133" spans="13:14" x14ac:dyDescent="0.25">
      <c r="M3133" s="65" t="s">
        <v>6323</v>
      </c>
      <c r="N3133" s="65" t="s">
        <v>6324</v>
      </c>
    </row>
    <row r="3134" spans="13:14" x14ac:dyDescent="0.25">
      <c r="M3134" s="65" t="s">
        <v>6325</v>
      </c>
      <c r="N3134" s="65" t="s">
        <v>6326</v>
      </c>
    </row>
    <row r="3135" spans="13:14" x14ac:dyDescent="0.25">
      <c r="M3135" s="65" t="s">
        <v>6327</v>
      </c>
      <c r="N3135" s="65" t="s">
        <v>6328</v>
      </c>
    </row>
    <row r="3136" spans="13:14" x14ac:dyDescent="0.25">
      <c r="M3136" s="65" t="s">
        <v>6329</v>
      </c>
      <c r="N3136" s="65" t="s">
        <v>6330</v>
      </c>
    </row>
    <row r="3137" spans="13:14" x14ac:dyDescent="0.25">
      <c r="M3137" s="65" t="s">
        <v>6331</v>
      </c>
      <c r="N3137" s="65" t="s">
        <v>6332</v>
      </c>
    </row>
    <row r="3138" spans="13:14" x14ac:dyDescent="0.25">
      <c r="M3138" s="65" t="s">
        <v>6333</v>
      </c>
      <c r="N3138" s="65" t="s">
        <v>6334</v>
      </c>
    </row>
    <row r="3139" spans="13:14" x14ac:dyDescent="0.25">
      <c r="M3139" s="65" t="s">
        <v>6335</v>
      </c>
      <c r="N3139" s="65" t="s">
        <v>6336</v>
      </c>
    </row>
    <row r="3140" spans="13:14" x14ac:dyDescent="0.25">
      <c r="M3140" s="65" t="s">
        <v>6337</v>
      </c>
      <c r="N3140" s="65" t="s">
        <v>6338</v>
      </c>
    </row>
    <row r="3141" spans="13:14" x14ac:dyDescent="0.25">
      <c r="M3141" s="65" t="s">
        <v>6339</v>
      </c>
      <c r="N3141" s="65" t="s">
        <v>6340</v>
      </c>
    </row>
    <row r="3142" spans="13:14" x14ac:dyDescent="0.25">
      <c r="M3142" s="65" t="s">
        <v>6341</v>
      </c>
      <c r="N3142" s="65" t="s">
        <v>6342</v>
      </c>
    </row>
    <row r="3143" spans="13:14" x14ac:dyDescent="0.25">
      <c r="M3143" s="65" t="s">
        <v>6343</v>
      </c>
      <c r="N3143" s="65" t="s">
        <v>6344</v>
      </c>
    </row>
    <row r="3144" spans="13:14" x14ac:dyDescent="0.25">
      <c r="M3144" s="65" t="s">
        <v>6345</v>
      </c>
      <c r="N3144" s="65" t="s">
        <v>6346</v>
      </c>
    </row>
    <row r="3145" spans="13:14" x14ac:dyDescent="0.25">
      <c r="M3145" s="65" t="s">
        <v>6347</v>
      </c>
      <c r="N3145" s="65" t="s">
        <v>6348</v>
      </c>
    </row>
    <row r="3146" spans="13:14" x14ac:dyDescent="0.25">
      <c r="M3146" s="65" t="s">
        <v>6349</v>
      </c>
      <c r="N3146" s="65" t="s">
        <v>6350</v>
      </c>
    </row>
    <row r="3147" spans="13:14" x14ac:dyDescent="0.25">
      <c r="M3147" s="65" t="s">
        <v>6351</v>
      </c>
      <c r="N3147" s="65" t="s">
        <v>6352</v>
      </c>
    </row>
    <row r="3148" spans="13:14" x14ac:dyDescent="0.25">
      <c r="M3148" s="65" t="s">
        <v>6353</v>
      </c>
      <c r="N3148" s="65" t="s">
        <v>6354</v>
      </c>
    </row>
    <row r="3149" spans="13:14" x14ac:dyDescent="0.25">
      <c r="M3149" s="65" t="s">
        <v>6355</v>
      </c>
      <c r="N3149" s="65" t="s">
        <v>6356</v>
      </c>
    </row>
    <row r="3150" spans="13:14" x14ac:dyDescent="0.25">
      <c r="M3150" s="65" t="s">
        <v>6357</v>
      </c>
      <c r="N3150" s="65" t="s">
        <v>6358</v>
      </c>
    </row>
    <row r="3151" spans="13:14" x14ac:dyDescent="0.25">
      <c r="M3151" s="65" t="s">
        <v>6359</v>
      </c>
      <c r="N3151" s="65" t="s">
        <v>6360</v>
      </c>
    </row>
    <row r="3152" spans="13:14" x14ac:dyDescent="0.25">
      <c r="M3152" s="65" t="s">
        <v>6361</v>
      </c>
      <c r="N3152" s="65" t="s">
        <v>6362</v>
      </c>
    </row>
    <row r="3153" spans="13:14" x14ac:dyDescent="0.25">
      <c r="M3153" s="65" t="s">
        <v>6363</v>
      </c>
      <c r="N3153" s="65" t="s">
        <v>6364</v>
      </c>
    </row>
    <row r="3154" spans="13:14" x14ac:dyDescent="0.25">
      <c r="M3154" s="65" t="s">
        <v>6365</v>
      </c>
      <c r="N3154" s="65" t="s">
        <v>6366</v>
      </c>
    </row>
    <row r="3155" spans="13:14" x14ac:dyDescent="0.25">
      <c r="M3155" s="65" t="s">
        <v>6367</v>
      </c>
      <c r="N3155" s="65" t="s">
        <v>6368</v>
      </c>
    </row>
    <row r="3156" spans="13:14" x14ac:dyDescent="0.25">
      <c r="M3156" s="65" t="s">
        <v>6369</v>
      </c>
      <c r="N3156" s="65" t="s">
        <v>6370</v>
      </c>
    </row>
    <row r="3157" spans="13:14" x14ac:dyDescent="0.25">
      <c r="M3157" s="65" t="s">
        <v>6371</v>
      </c>
      <c r="N3157" s="65" t="s">
        <v>6372</v>
      </c>
    </row>
    <row r="3158" spans="13:14" x14ac:dyDescent="0.25">
      <c r="M3158" s="65" t="s">
        <v>6373</v>
      </c>
      <c r="N3158" s="65" t="s">
        <v>6374</v>
      </c>
    </row>
    <row r="3159" spans="13:14" x14ac:dyDescent="0.25">
      <c r="M3159" s="65" t="s">
        <v>6375</v>
      </c>
      <c r="N3159" s="65" t="s">
        <v>6376</v>
      </c>
    </row>
    <row r="3160" spans="13:14" x14ac:dyDescent="0.25">
      <c r="M3160" s="65" t="s">
        <v>6377</v>
      </c>
      <c r="N3160" s="65" t="s">
        <v>6378</v>
      </c>
    </row>
    <row r="3161" spans="13:14" x14ac:dyDescent="0.25">
      <c r="M3161" s="65" t="s">
        <v>6379</v>
      </c>
      <c r="N3161" s="65" t="s">
        <v>6380</v>
      </c>
    </row>
    <row r="3162" spans="13:14" x14ac:dyDescent="0.25">
      <c r="M3162" s="65" t="s">
        <v>6381</v>
      </c>
      <c r="N3162" s="65" t="s">
        <v>6382</v>
      </c>
    </row>
    <row r="3163" spans="13:14" x14ac:dyDescent="0.25">
      <c r="M3163" s="65" t="s">
        <v>6383</v>
      </c>
      <c r="N3163" s="65" t="s">
        <v>6384</v>
      </c>
    </row>
    <row r="3164" spans="13:14" x14ac:dyDescent="0.25">
      <c r="M3164" s="65" t="s">
        <v>6385</v>
      </c>
      <c r="N3164" s="65" t="s">
        <v>6386</v>
      </c>
    </row>
    <row r="3165" spans="13:14" x14ac:dyDescent="0.25">
      <c r="M3165" s="65" t="s">
        <v>6387</v>
      </c>
      <c r="N3165" s="65" t="s">
        <v>6388</v>
      </c>
    </row>
    <row r="3166" spans="13:14" x14ac:dyDescent="0.25">
      <c r="M3166" s="65" t="s">
        <v>6389</v>
      </c>
      <c r="N3166" s="65" t="s">
        <v>6390</v>
      </c>
    </row>
    <row r="3167" spans="13:14" x14ac:dyDescent="0.25">
      <c r="M3167" s="65" t="s">
        <v>6391</v>
      </c>
      <c r="N3167" s="65" t="s">
        <v>6392</v>
      </c>
    </row>
    <row r="3168" spans="13:14" x14ac:dyDescent="0.25">
      <c r="M3168" s="65" t="s">
        <v>6393</v>
      </c>
      <c r="N3168" s="65" t="s">
        <v>6394</v>
      </c>
    </row>
    <row r="3169" spans="13:14" x14ac:dyDescent="0.25">
      <c r="M3169" s="65" t="s">
        <v>6395</v>
      </c>
      <c r="N3169" s="65" t="s">
        <v>6396</v>
      </c>
    </row>
    <row r="3170" spans="13:14" x14ac:dyDescent="0.25">
      <c r="M3170" s="65" t="s">
        <v>6397</v>
      </c>
      <c r="N3170" s="65" t="s">
        <v>6398</v>
      </c>
    </row>
    <row r="3171" spans="13:14" x14ac:dyDescent="0.25">
      <c r="M3171" s="65" t="s">
        <v>6399</v>
      </c>
      <c r="N3171" s="65" t="s">
        <v>6400</v>
      </c>
    </row>
    <row r="3172" spans="13:14" x14ac:dyDescent="0.25">
      <c r="M3172" s="65" t="s">
        <v>6401</v>
      </c>
      <c r="N3172" s="65" t="s">
        <v>6402</v>
      </c>
    </row>
    <row r="3173" spans="13:14" x14ac:dyDescent="0.25">
      <c r="M3173" s="65" t="s">
        <v>6403</v>
      </c>
      <c r="N3173" s="65" t="s">
        <v>6404</v>
      </c>
    </row>
    <row r="3174" spans="13:14" x14ac:dyDescent="0.25">
      <c r="M3174" s="65" t="s">
        <v>6405</v>
      </c>
      <c r="N3174" s="65" t="s">
        <v>6406</v>
      </c>
    </row>
    <row r="3175" spans="13:14" x14ac:dyDescent="0.25">
      <c r="M3175" s="65" t="s">
        <v>6407</v>
      </c>
      <c r="N3175" s="65" t="s">
        <v>6408</v>
      </c>
    </row>
    <row r="3176" spans="13:14" x14ac:dyDescent="0.25">
      <c r="M3176" s="65" t="s">
        <v>6409</v>
      </c>
      <c r="N3176" s="65" t="s">
        <v>6410</v>
      </c>
    </row>
    <row r="3177" spans="13:14" x14ac:dyDescent="0.25">
      <c r="M3177" s="65" t="s">
        <v>6411</v>
      </c>
      <c r="N3177" s="65" t="s">
        <v>6412</v>
      </c>
    </row>
    <row r="3178" spans="13:14" x14ac:dyDescent="0.25">
      <c r="M3178" s="65" t="s">
        <v>6413</v>
      </c>
      <c r="N3178" s="65" t="s">
        <v>6414</v>
      </c>
    </row>
    <row r="3179" spans="13:14" x14ac:dyDescent="0.25">
      <c r="M3179" s="65" t="s">
        <v>6415</v>
      </c>
      <c r="N3179" s="65" t="s">
        <v>6416</v>
      </c>
    </row>
    <row r="3180" spans="13:14" x14ac:dyDescent="0.25">
      <c r="M3180" s="65" t="s">
        <v>6417</v>
      </c>
      <c r="N3180" s="65" t="s">
        <v>6418</v>
      </c>
    </row>
    <row r="3181" spans="13:14" x14ac:dyDescent="0.25">
      <c r="M3181" s="65" t="s">
        <v>6419</v>
      </c>
      <c r="N3181" s="65" t="s">
        <v>6420</v>
      </c>
    </row>
    <row r="3182" spans="13:14" x14ac:dyDescent="0.25">
      <c r="M3182" s="65" t="s">
        <v>6421</v>
      </c>
      <c r="N3182" s="65" t="s">
        <v>6422</v>
      </c>
    </row>
    <row r="3183" spans="13:14" x14ac:dyDescent="0.25">
      <c r="M3183" s="65" t="s">
        <v>6423</v>
      </c>
      <c r="N3183" s="65" t="s">
        <v>6424</v>
      </c>
    </row>
    <row r="3184" spans="13:14" x14ac:dyDescent="0.25">
      <c r="M3184" s="65" t="s">
        <v>6425</v>
      </c>
      <c r="N3184" s="65" t="s">
        <v>6426</v>
      </c>
    </row>
    <row r="3185" spans="13:14" x14ac:dyDescent="0.25">
      <c r="M3185" s="65" t="s">
        <v>6427</v>
      </c>
      <c r="N3185" s="65" t="s">
        <v>6428</v>
      </c>
    </row>
    <row r="3186" spans="13:14" x14ac:dyDescent="0.25">
      <c r="M3186" s="65" t="s">
        <v>6429</v>
      </c>
      <c r="N3186" s="65" t="s">
        <v>6430</v>
      </c>
    </row>
    <row r="3187" spans="13:14" x14ac:dyDescent="0.25">
      <c r="M3187" s="65" t="s">
        <v>6431</v>
      </c>
      <c r="N3187" s="65" t="s">
        <v>6432</v>
      </c>
    </row>
    <row r="3188" spans="13:14" x14ac:dyDescent="0.25">
      <c r="M3188" s="65" t="s">
        <v>6433</v>
      </c>
      <c r="N3188" s="65" t="s">
        <v>6434</v>
      </c>
    </row>
    <row r="3189" spans="13:14" x14ac:dyDescent="0.25">
      <c r="M3189" s="65" t="s">
        <v>6435</v>
      </c>
      <c r="N3189" s="65" t="s">
        <v>6436</v>
      </c>
    </row>
    <row r="3190" spans="13:14" x14ac:dyDescent="0.25">
      <c r="M3190" s="65" t="s">
        <v>6437</v>
      </c>
      <c r="N3190" s="65" t="s">
        <v>6438</v>
      </c>
    </row>
    <row r="3191" spans="13:14" x14ac:dyDescent="0.25">
      <c r="M3191" s="65" t="s">
        <v>6439</v>
      </c>
      <c r="N3191" s="65" t="s">
        <v>6440</v>
      </c>
    </row>
    <row r="3192" spans="13:14" x14ac:dyDescent="0.25">
      <c r="M3192" s="65" t="s">
        <v>6441</v>
      </c>
      <c r="N3192" s="65" t="s">
        <v>6442</v>
      </c>
    </row>
    <row r="3193" spans="13:14" x14ac:dyDescent="0.25">
      <c r="M3193" s="65" t="s">
        <v>6443</v>
      </c>
      <c r="N3193" s="65" t="s">
        <v>6444</v>
      </c>
    </row>
    <row r="3194" spans="13:14" x14ac:dyDescent="0.25">
      <c r="M3194" s="65" t="s">
        <v>6445</v>
      </c>
      <c r="N3194" s="65" t="s">
        <v>6446</v>
      </c>
    </row>
    <row r="3195" spans="13:14" x14ac:dyDescent="0.25">
      <c r="M3195" s="65" t="s">
        <v>6447</v>
      </c>
      <c r="N3195" s="65" t="s">
        <v>6448</v>
      </c>
    </row>
    <row r="3196" spans="13:14" x14ac:dyDescent="0.25">
      <c r="M3196" s="65" t="s">
        <v>6449</v>
      </c>
      <c r="N3196" s="65" t="s">
        <v>6450</v>
      </c>
    </row>
    <row r="3197" spans="13:14" x14ac:dyDescent="0.25">
      <c r="M3197" s="65" t="s">
        <v>6451</v>
      </c>
      <c r="N3197" s="65" t="s">
        <v>6452</v>
      </c>
    </row>
    <row r="3198" spans="13:14" x14ac:dyDescent="0.25">
      <c r="M3198" s="65" t="s">
        <v>6453</v>
      </c>
      <c r="N3198" s="65" t="s">
        <v>6454</v>
      </c>
    </row>
    <row r="3199" spans="13:14" x14ac:dyDescent="0.25">
      <c r="M3199" s="65" t="s">
        <v>6455</v>
      </c>
      <c r="N3199" s="65" t="s">
        <v>6456</v>
      </c>
    </row>
    <row r="3200" spans="13:14" x14ac:dyDescent="0.25">
      <c r="M3200" s="65" t="s">
        <v>6457</v>
      </c>
      <c r="N3200" s="65" t="s">
        <v>6458</v>
      </c>
    </row>
    <row r="3201" spans="13:14" x14ac:dyDescent="0.25">
      <c r="M3201" s="65" t="s">
        <v>6459</v>
      </c>
      <c r="N3201" s="65" t="s">
        <v>6460</v>
      </c>
    </row>
    <row r="3202" spans="13:14" x14ac:dyDescent="0.25">
      <c r="M3202" s="65" t="s">
        <v>6461</v>
      </c>
      <c r="N3202" s="65" t="s">
        <v>6462</v>
      </c>
    </row>
    <row r="3203" spans="13:14" x14ac:dyDescent="0.25">
      <c r="M3203" s="65" t="s">
        <v>6463</v>
      </c>
      <c r="N3203" s="65" t="s">
        <v>6464</v>
      </c>
    </row>
    <row r="3204" spans="13:14" x14ac:dyDescent="0.25">
      <c r="M3204" s="65" t="s">
        <v>6465</v>
      </c>
      <c r="N3204" s="65" t="s">
        <v>6466</v>
      </c>
    </row>
    <row r="3205" spans="13:14" x14ac:dyDescent="0.25">
      <c r="M3205" s="65" t="s">
        <v>6467</v>
      </c>
      <c r="N3205" s="65" t="s">
        <v>6468</v>
      </c>
    </row>
    <row r="3206" spans="13:14" x14ac:dyDescent="0.25">
      <c r="M3206" s="65" t="s">
        <v>6469</v>
      </c>
      <c r="N3206" s="65" t="s">
        <v>6470</v>
      </c>
    </row>
    <row r="3207" spans="13:14" x14ac:dyDescent="0.25">
      <c r="M3207" s="65" t="s">
        <v>6471</v>
      </c>
      <c r="N3207" s="65" t="s">
        <v>6472</v>
      </c>
    </row>
    <row r="3208" spans="13:14" x14ac:dyDescent="0.25">
      <c r="M3208" s="65" t="s">
        <v>6473</v>
      </c>
      <c r="N3208" s="65" t="s">
        <v>6474</v>
      </c>
    </row>
    <row r="3209" spans="13:14" x14ac:dyDescent="0.25">
      <c r="M3209" s="65" t="s">
        <v>6475</v>
      </c>
      <c r="N3209" s="65" t="s">
        <v>6476</v>
      </c>
    </row>
    <row r="3210" spans="13:14" x14ac:dyDescent="0.25">
      <c r="M3210" s="65" t="s">
        <v>6477</v>
      </c>
      <c r="N3210" s="65" t="s">
        <v>6478</v>
      </c>
    </row>
    <row r="3211" spans="13:14" x14ac:dyDescent="0.25">
      <c r="M3211" s="65" t="s">
        <v>6479</v>
      </c>
      <c r="N3211" s="65" t="s">
        <v>6480</v>
      </c>
    </row>
    <row r="3212" spans="13:14" x14ac:dyDescent="0.25">
      <c r="M3212" s="65" t="s">
        <v>6481</v>
      </c>
      <c r="N3212" s="65" t="s">
        <v>6482</v>
      </c>
    </row>
    <row r="3213" spans="13:14" x14ac:dyDescent="0.25">
      <c r="M3213" s="65" t="s">
        <v>6483</v>
      </c>
      <c r="N3213" s="65" t="s">
        <v>6484</v>
      </c>
    </row>
    <row r="3214" spans="13:14" x14ac:dyDescent="0.25">
      <c r="M3214" s="65" t="s">
        <v>6485</v>
      </c>
      <c r="N3214" s="65" t="s">
        <v>6486</v>
      </c>
    </row>
    <row r="3215" spans="13:14" x14ac:dyDescent="0.25">
      <c r="M3215" s="65" t="s">
        <v>6487</v>
      </c>
      <c r="N3215" s="65" t="s">
        <v>6488</v>
      </c>
    </row>
    <row r="3216" spans="13:14" x14ac:dyDescent="0.25">
      <c r="M3216" s="65" t="s">
        <v>6489</v>
      </c>
      <c r="N3216" s="65" t="s">
        <v>6490</v>
      </c>
    </row>
    <row r="3217" spans="13:14" x14ac:dyDescent="0.25">
      <c r="M3217" s="65" t="s">
        <v>6491</v>
      </c>
      <c r="N3217" s="65" t="s">
        <v>6492</v>
      </c>
    </row>
    <row r="3218" spans="13:14" x14ac:dyDescent="0.25">
      <c r="M3218" s="65" t="s">
        <v>6493</v>
      </c>
      <c r="N3218" s="65" t="s">
        <v>6494</v>
      </c>
    </row>
    <row r="3219" spans="13:14" x14ac:dyDescent="0.25">
      <c r="M3219" s="65" t="s">
        <v>6495</v>
      </c>
      <c r="N3219" s="65" t="s">
        <v>6496</v>
      </c>
    </row>
    <row r="3220" spans="13:14" x14ac:dyDescent="0.25">
      <c r="M3220" s="65" t="s">
        <v>6497</v>
      </c>
      <c r="N3220" s="65" t="s">
        <v>6498</v>
      </c>
    </row>
    <row r="3221" spans="13:14" x14ac:dyDescent="0.25">
      <c r="M3221" s="65" t="s">
        <v>6499</v>
      </c>
      <c r="N3221" s="65" t="s">
        <v>6500</v>
      </c>
    </row>
    <row r="3222" spans="13:14" x14ac:dyDescent="0.25">
      <c r="M3222" s="65" t="s">
        <v>6501</v>
      </c>
      <c r="N3222" s="65" t="s">
        <v>6502</v>
      </c>
    </row>
    <row r="3223" spans="13:14" x14ac:dyDescent="0.25">
      <c r="M3223" s="65" t="s">
        <v>6503</v>
      </c>
      <c r="N3223" s="65" t="s">
        <v>6504</v>
      </c>
    </row>
    <row r="3224" spans="13:14" x14ac:dyDescent="0.25">
      <c r="M3224" s="65" t="s">
        <v>6505</v>
      </c>
      <c r="N3224" s="65" t="s">
        <v>6506</v>
      </c>
    </row>
    <row r="3225" spans="13:14" x14ac:dyDescent="0.25">
      <c r="M3225" s="65" t="s">
        <v>6507</v>
      </c>
      <c r="N3225" s="65" t="s">
        <v>6508</v>
      </c>
    </row>
    <row r="3226" spans="13:14" x14ac:dyDescent="0.25">
      <c r="M3226" s="65" t="s">
        <v>6509</v>
      </c>
      <c r="N3226" s="65" t="s">
        <v>6510</v>
      </c>
    </row>
    <row r="3227" spans="13:14" x14ac:dyDescent="0.25">
      <c r="M3227" s="65" t="s">
        <v>6511</v>
      </c>
      <c r="N3227" s="65" t="s">
        <v>6512</v>
      </c>
    </row>
    <row r="3228" spans="13:14" x14ac:dyDescent="0.25">
      <c r="M3228" s="65" t="s">
        <v>6513</v>
      </c>
      <c r="N3228" s="65" t="s">
        <v>6514</v>
      </c>
    </row>
    <row r="3229" spans="13:14" x14ac:dyDescent="0.25">
      <c r="M3229" s="65" t="s">
        <v>6515</v>
      </c>
      <c r="N3229" s="65" t="s">
        <v>6516</v>
      </c>
    </row>
    <row r="3230" spans="13:14" x14ac:dyDescent="0.25">
      <c r="M3230" s="65" t="s">
        <v>6517</v>
      </c>
      <c r="N3230" s="65" t="s">
        <v>6518</v>
      </c>
    </row>
    <row r="3231" spans="13:14" x14ac:dyDescent="0.25">
      <c r="M3231" s="65" t="s">
        <v>6519</v>
      </c>
      <c r="N3231" s="65" t="s">
        <v>6520</v>
      </c>
    </row>
    <row r="3232" spans="13:14" x14ac:dyDescent="0.25">
      <c r="M3232" s="65" t="s">
        <v>6521</v>
      </c>
      <c r="N3232" s="65" t="s">
        <v>6522</v>
      </c>
    </row>
    <row r="3233" spans="13:14" x14ac:dyDescent="0.25">
      <c r="M3233" s="65" t="s">
        <v>6523</v>
      </c>
      <c r="N3233" s="65" t="s">
        <v>6524</v>
      </c>
    </row>
    <row r="3234" spans="13:14" x14ac:dyDescent="0.25">
      <c r="M3234" s="65" t="s">
        <v>6525</v>
      </c>
      <c r="N3234" s="65" t="s">
        <v>6526</v>
      </c>
    </row>
    <row r="3235" spans="13:14" x14ac:dyDescent="0.25">
      <c r="M3235" s="65" t="s">
        <v>6527</v>
      </c>
      <c r="N3235" s="65" t="s">
        <v>6528</v>
      </c>
    </row>
    <row r="3236" spans="13:14" x14ac:dyDescent="0.25">
      <c r="M3236" s="65" t="s">
        <v>6529</v>
      </c>
      <c r="N3236" s="65" t="s">
        <v>6530</v>
      </c>
    </row>
    <row r="3237" spans="13:14" x14ac:dyDescent="0.25">
      <c r="M3237" s="65" t="s">
        <v>6531</v>
      </c>
      <c r="N3237" s="65" t="s">
        <v>6532</v>
      </c>
    </row>
    <row r="3238" spans="13:14" x14ac:dyDescent="0.25">
      <c r="M3238" s="65" t="s">
        <v>6533</v>
      </c>
      <c r="N3238" s="65" t="s">
        <v>6534</v>
      </c>
    </row>
    <row r="3239" spans="13:14" x14ac:dyDescent="0.25">
      <c r="M3239" s="65" t="s">
        <v>6535</v>
      </c>
      <c r="N3239" s="65" t="s">
        <v>6536</v>
      </c>
    </row>
    <row r="3240" spans="13:14" x14ac:dyDescent="0.25">
      <c r="M3240" s="65" t="s">
        <v>6537</v>
      </c>
      <c r="N3240" s="65" t="s">
        <v>6538</v>
      </c>
    </row>
    <row r="3241" spans="13:14" x14ac:dyDescent="0.25">
      <c r="M3241" s="65" t="s">
        <v>6539</v>
      </c>
      <c r="N3241" s="65" t="s">
        <v>6540</v>
      </c>
    </row>
    <row r="3242" spans="13:14" x14ac:dyDescent="0.25">
      <c r="M3242" s="65" t="s">
        <v>6541</v>
      </c>
      <c r="N3242" s="65" t="s">
        <v>6542</v>
      </c>
    </row>
    <row r="3243" spans="13:14" x14ac:dyDescent="0.25">
      <c r="M3243" s="65" t="s">
        <v>6543</v>
      </c>
      <c r="N3243" s="65" t="s">
        <v>6544</v>
      </c>
    </row>
    <row r="3244" spans="13:14" x14ac:dyDescent="0.25">
      <c r="M3244" s="65" t="s">
        <v>6545</v>
      </c>
      <c r="N3244" s="65" t="s">
        <v>6546</v>
      </c>
    </row>
    <row r="3245" spans="13:14" x14ac:dyDescent="0.25">
      <c r="M3245" s="65" t="s">
        <v>6547</v>
      </c>
      <c r="N3245" s="65" t="s">
        <v>6548</v>
      </c>
    </row>
    <row r="3246" spans="13:14" x14ac:dyDescent="0.25">
      <c r="M3246" s="65" t="s">
        <v>6549</v>
      </c>
      <c r="N3246" s="65" t="s">
        <v>6550</v>
      </c>
    </row>
    <row r="3247" spans="13:14" x14ac:dyDescent="0.25">
      <c r="M3247" s="65" t="s">
        <v>6551</v>
      </c>
      <c r="N3247" s="65" t="s">
        <v>6552</v>
      </c>
    </row>
    <row r="3248" spans="13:14" x14ac:dyDescent="0.25">
      <c r="M3248" s="65" t="s">
        <v>6553</v>
      </c>
      <c r="N3248" s="65" t="s">
        <v>6554</v>
      </c>
    </row>
    <row r="3249" spans="13:14" x14ac:dyDescent="0.25">
      <c r="M3249" s="65" t="s">
        <v>6555</v>
      </c>
      <c r="N3249" s="65" t="s">
        <v>6556</v>
      </c>
    </row>
    <row r="3250" spans="13:14" x14ac:dyDescent="0.25">
      <c r="M3250" s="65" t="s">
        <v>6557</v>
      </c>
      <c r="N3250" s="65" t="s">
        <v>6558</v>
      </c>
    </row>
    <row r="3251" spans="13:14" x14ac:dyDescent="0.25">
      <c r="M3251" s="65" t="s">
        <v>6559</v>
      </c>
      <c r="N3251" s="65" t="s">
        <v>6560</v>
      </c>
    </row>
    <row r="3252" spans="13:14" x14ac:dyDescent="0.25">
      <c r="M3252" s="65" t="s">
        <v>6561</v>
      </c>
      <c r="N3252" s="65" t="s">
        <v>6562</v>
      </c>
    </row>
    <row r="3253" spans="13:14" x14ac:dyDescent="0.25">
      <c r="M3253" s="65" t="s">
        <v>6563</v>
      </c>
      <c r="N3253" s="65" t="s">
        <v>6564</v>
      </c>
    </row>
    <row r="3254" spans="13:14" x14ac:dyDescent="0.25">
      <c r="M3254" s="65" t="s">
        <v>6565</v>
      </c>
      <c r="N3254" s="65" t="s">
        <v>6566</v>
      </c>
    </row>
    <row r="3255" spans="13:14" x14ac:dyDescent="0.25">
      <c r="M3255" s="65" t="s">
        <v>6567</v>
      </c>
      <c r="N3255" s="65" t="s">
        <v>6568</v>
      </c>
    </row>
    <row r="3256" spans="13:14" x14ac:dyDescent="0.25">
      <c r="M3256" s="65" t="s">
        <v>6569</v>
      </c>
      <c r="N3256" s="65" t="s">
        <v>6570</v>
      </c>
    </row>
    <row r="3257" spans="13:14" x14ac:dyDescent="0.25">
      <c r="M3257" s="65" t="s">
        <v>6571</v>
      </c>
      <c r="N3257" s="65" t="s">
        <v>6572</v>
      </c>
    </row>
    <row r="3258" spans="13:14" x14ac:dyDescent="0.25">
      <c r="M3258" s="65" t="s">
        <v>6573</v>
      </c>
      <c r="N3258" s="65" t="s">
        <v>6574</v>
      </c>
    </row>
    <row r="3259" spans="13:14" x14ac:dyDescent="0.25">
      <c r="M3259" s="65" t="s">
        <v>6575</v>
      </c>
      <c r="N3259" s="65" t="s">
        <v>6576</v>
      </c>
    </row>
    <row r="3260" spans="13:14" x14ac:dyDescent="0.25">
      <c r="M3260" s="65" t="s">
        <v>6577</v>
      </c>
      <c r="N3260" s="65" t="s">
        <v>6578</v>
      </c>
    </row>
    <row r="3261" spans="13:14" x14ac:dyDescent="0.25">
      <c r="M3261" s="65" t="s">
        <v>6579</v>
      </c>
      <c r="N3261" s="65" t="s">
        <v>6580</v>
      </c>
    </row>
    <row r="3262" spans="13:14" x14ac:dyDescent="0.25">
      <c r="M3262" s="65" t="s">
        <v>6581</v>
      </c>
      <c r="N3262" s="65" t="s">
        <v>6582</v>
      </c>
    </row>
    <row r="3263" spans="13:14" x14ac:dyDescent="0.25">
      <c r="M3263" s="65" t="s">
        <v>6583</v>
      </c>
      <c r="N3263" s="65" t="s">
        <v>6584</v>
      </c>
    </row>
    <row r="3264" spans="13:14" x14ac:dyDescent="0.25">
      <c r="M3264" s="65" t="s">
        <v>6585</v>
      </c>
      <c r="N3264" s="65" t="s">
        <v>6586</v>
      </c>
    </row>
    <row r="3265" spans="13:14" x14ac:dyDescent="0.25">
      <c r="M3265" s="65" t="s">
        <v>6587</v>
      </c>
      <c r="N3265" s="65" t="s">
        <v>6588</v>
      </c>
    </row>
    <row r="3266" spans="13:14" x14ac:dyDescent="0.25">
      <c r="M3266" s="65" t="s">
        <v>6589</v>
      </c>
      <c r="N3266" s="65" t="s">
        <v>6590</v>
      </c>
    </row>
    <row r="3267" spans="13:14" x14ac:dyDescent="0.25">
      <c r="M3267" s="65" t="s">
        <v>6591</v>
      </c>
      <c r="N3267" s="65" t="s">
        <v>6592</v>
      </c>
    </row>
    <row r="3268" spans="13:14" x14ac:dyDescent="0.25">
      <c r="M3268" s="65" t="s">
        <v>6593</v>
      </c>
      <c r="N3268" s="65" t="s">
        <v>6594</v>
      </c>
    </row>
    <row r="3269" spans="13:14" x14ac:dyDescent="0.25">
      <c r="M3269" s="65" t="s">
        <v>6595</v>
      </c>
      <c r="N3269" s="65" t="s">
        <v>6596</v>
      </c>
    </row>
    <row r="3270" spans="13:14" x14ac:dyDescent="0.25">
      <c r="M3270" s="65" t="s">
        <v>6597</v>
      </c>
      <c r="N3270" s="65" t="s">
        <v>6598</v>
      </c>
    </row>
    <row r="3271" spans="13:14" x14ac:dyDescent="0.25">
      <c r="M3271" s="65" t="s">
        <v>6599</v>
      </c>
      <c r="N3271" s="65" t="s">
        <v>6600</v>
      </c>
    </row>
    <row r="3272" spans="13:14" x14ac:dyDescent="0.25">
      <c r="M3272" s="65" t="s">
        <v>6601</v>
      </c>
      <c r="N3272" s="65" t="s">
        <v>6602</v>
      </c>
    </row>
    <row r="3273" spans="13:14" x14ac:dyDescent="0.25">
      <c r="M3273" s="65" t="s">
        <v>6603</v>
      </c>
      <c r="N3273" s="65" t="s">
        <v>6604</v>
      </c>
    </row>
    <row r="3274" spans="13:14" x14ac:dyDescent="0.25">
      <c r="M3274" s="65" t="s">
        <v>6605</v>
      </c>
      <c r="N3274" s="65" t="s">
        <v>6606</v>
      </c>
    </row>
    <row r="3275" spans="13:14" x14ac:dyDescent="0.25">
      <c r="M3275" s="65" t="s">
        <v>6607</v>
      </c>
      <c r="N3275" s="65" t="s">
        <v>6608</v>
      </c>
    </row>
    <row r="3276" spans="13:14" x14ac:dyDescent="0.25">
      <c r="M3276" s="65" t="s">
        <v>6609</v>
      </c>
      <c r="N3276" s="65" t="s">
        <v>6610</v>
      </c>
    </row>
    <row r="3277" spans="13:14" x14ac:dyDescent="0.25">
      <c r="M3277" s="65" t="s">
        <v>6611</v>
      </c>
      <c r="N3277" s="65" t="s">
        <v>6612</v>
      </c>
    </row>
    <row r="3278" spans="13:14" x14ac:dyDescent="0.25">
      <c r="M3278" s="65" t="s">
        <v>6613</v>
      </c>
      <c r="N3278" s="65" t="s">
        <v>6614</v>
      </c>
    </row>
    <row r="3279" spans="13:14" x14ac:dyDescent="0.25">
      <c r="M3279" s="65" t="s">
        <v>6615</v>
      </c>
      <c r="N3279" s="65" t="s">
        <v>6616</v>
      </c>
    </row>
    <row r="3280" spans="13:14" x14ac:dyDescent="0.25">
      <c r="M3280" s="65" t="s">
        <v>6617</v>
      </c>
      <c r="N3280" s="65" t="s">
        <v>6618</v>
      </c>
    </row>
    <row r="3281" spans="13:14" x14ac:dyDescent="0.25">
      <c r="M3281" s="65" t="s">
        <v>6619</v>
      </c>
      <c r="N3281" s="65" t="s">
        <v>6620</v>
      </c>
    </row>
    <row r="3282" spans="13:14" x14ac:dyDescent="0.25">
      <c r="M3282" s="65" t="s">
        <v>6621</v>
      </c>
      <c r="N3282" s="65" t="s">
        <v>6622</v>
      </c>
    </row>
  </sheetData>
  <sheetProtection algorithmName="SHA-512" hashValue="FXzMxS45Px/tqskAmCD2qSDP1yspj1/BnjDIEEWM1LTKfDEVo4x/OvKgahlFY2NKMOXmyjqiCU+Sd/JgUePwmg==" saltValue="WX2cYQJgYbpZnmuQTT8JFw==" spinCount="100000" sheet="1" objects="1" scenarios="1"/>
  <protectedRanges>
    <protectedRange sqref="C14:C18 C7:C12 H20:I27 F20:F27 B20:C27" name="COM"/>
  </protectedRanges>
  <mergeCells count="2">
    <mergeCell ref="B44:G44"/>
    <mergeCell ref="G3:J3"/>
  </mergeCells>
  <conditionalFormatting sqref="I28:I29 B24 D10 E10:H14 K22:K26 B6:H8 B28:D29 A30:A83 B31:H193 B9:B14 E20:E27 J20:J27 P22:P25 P5:P17 H20:H27">
    <cfRule type="containsErrors" dxfId="87" priority="157">
      <formula>ISERROR(A5)</formula>
    </cfRule>
  </conditionalFormatting>
  <conditionalFormatting sqref="C10">
    <cfRule type="containsErrors" dxfId="86" priority="158">
      <formula>ISERROR(C10)</formula>
    </cfRule>
  </conditionalFormatting>
  <conditionalFormatting sqref="C15">
    <cfRule type="containsErrors" dxfId="85" priority="161">
      <formula>ISERROR(C15)</formula>
    </cfRule>
  </conditionalFormatting>
  <conditionalFormatting sqref="C16">
    <cfRule type="containsErrors" dxfId="84" priority="179">
      <formula>ISERROR(C16)</formula>
    </cfRule>
  </conditionalFormatting>
  <conditionalFormatting sqref="B20:C20">
    <cfRule type="containsText" dxfId="83" priority="175" operator="containsText" text="FALSO">
      <formula>NOT(ISERROR(SEARCH("FALSO",B20)))</formula>
    </cfRule>
    <cfRule type="containsErrors" dxfId="82" priority="176">
      <formula>ISERROR(B20)</formula>
    </cfRule>
  </conditionalFormatting>
  <conditionalFormatting sqref="D20:D27">
    <cfRule type="containsErrors" dxfId="81" priority="172">
      <formula>ISERROR(D20)</formula>
    </cfRule>
  </conditionalFormatting>
  <conditionalFormatting sqref="F20">
    <cfRule type="containsErrors" dxfId="80" priority="138">
      <formula>ISERROR(F20)</formula>
    </cfRule>
  </conditionalFormatting>
  <conditionalFormatting sqref="I20">
    <cfRule type="containsErrors" dxfId="79" priority="135">
      <formula>ISERROR(I20)</formula>
    </cfRule>
  </conditionalFormatting>
  <conditionalFormatting sqref="B21">
    <cfRule type="containsText" dxfId="78" priority="168" operator="containsText" text="FALSO">
      <formula>NOT(ISERROR(SEARCH("FALSO",B21)))</formula>
    </cfRule>
    <cfRule type="containsErrors" dxfId="77" priority="169">
      <formula>ISERROR(B21)</formula>
    </cfRule>
  </conditionalFormatting>
  <conditionalFormatting sqref="I21:I27">
    <cfRule type="containsErrors" dxfId="76" priority="155">
      <formula>ISERROR(I21)</formula>
    </cfRule>
    <cfRule type="containsErrors" dxfId="75" priority="156">
      <formula>ISERROR(I21)</formula>
    </cfRule>
  </conditionalFormatting>
  <conditionalFormatting sqref="H25:H26">
    <cfRule type="containsErrors" dxfId="74" priority="153">
      <formula>ISERROR(H25)</formula>
    </cfRule>
  </conditionalFormatting>
  <conditionalFormatting sqref="F28:H29">
    <cfRule type="containsErrors" dxfId="73" priority="180">
      <formula>ISERROR(F28)</formula>
    </cfRule>
  </conditionalFormatting>
  <conditionalFormatting sqref="J28:J29">
    <cfRule type="containsErrors" dxfId="72" priority="142">
      <formula>ISERROR(J28)</formula>
    </cfRule>
  </conditionalFormatting>
  <conditionalFormatting sqref="B30">
    <cfRule type="containsText" dxfId="71" priority="184" operator="containsText" text="FALSO">
      <formula>NOT(ISERROR(SEARCH("FALSO",B30)))</formula>
    </cfRule>
    <cfRule type="containsErrors" dxfId="70" priority="185">
      <formula>ISERROR(B30)</formula>
    </cfRule>
  </conditionalFormatting>
  <conditionalFormatting sqref="A84:A183">
    <cfRule type="containsErrors" dxfId="69" priority="193">
      <formula>ISERROR(A84)</formula>
    </cfRule>
  </conditionalFormatting>
  <conditionalFormatting sqref="C11:C13">
    <cfRule type="containsErrors" dxfId="68" priority="164">
      <formula>ISERROR(C11)</formula>
    </cfRule>
  </conditionalFormatting>
  <conditionalFormatting sqref="C17">
    <cfRule type="containsErrors" dxfId="67" priority="181">
      <formula>ISERROR(C17)</formula>
    </cfRule>
  </conditionalFormatting>
  <conditionalFormatting sqref="D11:D13">
    <cfRule type="containsText" dxfId="66" priority="159" operator="containsText" text="FALSO">
      <formula>NOT(ISERROR(SEARCH("FALSO",D11)))</formula>
    </cfRule>
    <cfRule type="containsErrors" dxfId="65" priority="160">
      <formula>ISERROR(D11)</formula>
    </cfRule>
  </conditionalFormatting>
  <conditionalFormatting sqref="H25:H27 G20:G27">
    <cfRule type="containsErrors" dxfId="64" priority="177">
      <formula>ISERROR(G20)</formula>
    </cfRule>
  </conditionalFormatting>
  <conditionalFormatting sqref="B28:B29 B5:B8 B24 B10:B14">
    <cfRule type="containsText" dxfId="63" priority="191" operator="containsText" text="FALSO">
      <formula>NOT(ISERROR(SEARCH("FALSO",B5)))</formula>
    </cfRule>
  </conditionalFormatting>
  <conditionalFormatting sqref="C30:H30 H27 D15:H18">
    <cfRule type="containsErrors" dxfId="62" priority="192">
      <formula>ISERROR(C15)</formula>
    </cfRule>
  </conditionalFormatting>
  <conditionalFormatting sqref="C14:D14">
    <cfRule type="containsErrors" dxfId="61" priority="183">
      <formula>ISERROR(C14)</formula>
    </cfRule>
  </conditionalFormatting>
  <conditionalFormatting sqref="H25:H27 F21:G21 G22:G27 F22:F23">
    <cfRule type="containsErrors" dxfId="60" priority="170">
      <formula>ISERROR(F21)</formula>
    </cfRule>
  </conditionalFormatting>
  <conditionalFormatting sqref="H25:H27">
    <cfRule type="containsErrors" dxfId="59" priority="129">
      <formula>ISERROR(H25)</formula>
    </cfRule>
  </conditionalFormatting>
  <conditionalFormatting sqref="H25:H27">
    <cfRule type="containsErrors" dxfId="58" priority="128">
      <formula>ISERROR(H25)</formula>
    </cfRule>
  </conditionalFormatting>
  <conditionalFormatting sqref="B27">
    <cfRule type="containsErrors" dxfId="57" priority="126">
      <formula>ISERROR(B27)</formula>
    </cfRule>
  </conditionalFormatting>
  <conditionalFormatting sqref="B27">
    <cfRule type="containsText" dxfId="56" priority="125" operator="containsText" text="FALSO">
      <formula>NOT(ISERROR(SEARCH("FALSO",B27)))</formula>
    </cfRule>
  </conditionalFormatting>
  <conditionalFormatting sqref="B25:B26">
    <cfRule type="containsErrors" dxfId="55" priority="116">
      <formula>ISERROR(B25)</formula>
    </cfRule>
  </conditionalFormatting>
  <conditionalFormatting sqref="B25:B26">
    <cfRule type="containsText" dxfId="54" priority="115" operator="containsText" text="FALSO">
      <formula>NOT(ISERROR(SEARCH("FALSO",B25)))</formula>
    </cfRule>
  </conditionalFormatting>
  <conditionalFormatting sqref="C26">
    <cfRule type="containsErrors" dxfId="53" priority="114">
      <formula>ISERROR(C26)</formula>
    </cfRule>
  </conditionalFormatting>
  <conditionalFormatting sqref="C26">
    <cfRule type="containsText" dxfId="52" priority="113" operator="containsText" text="FALSO">
      <formula>NOT(ISERROR(SEARCH("FALSO",C26)))</formula>
    </cfRule>
  </conditionalFormatting>
  <conditionalFormatting sqref="C27">
    <cfRule type="containsErrors" dxfId="51" priority="112">
      <formula>ISERROR(C27)</formula>
    </cfRule>
  </conditionalFormatting>
  <conditionalFormatting sqref="C27">
    <cfRule type="containsText" dxfId="50" priority="111" operator="containsText" text="FALSO">
      <formula>NOT(ISERROR(SEARCH("FALSO",C27)))</formula>
    </cfRule>
  </conditionalFormatting>
  <conditionalFormatting sqref="F24:F27">
    <cfRule type="containsErrors" dxfId="49" priority="102">
      <formula>ISERROR(F24)</formula>
    </cfRule>
  </conditionalFormatting>
  <conditionalFormatting sqref="K26">
    <cfRule type="containsErrors" dxfId="48" priority="99">
      <formula>ISERROR(K26)</formula>
    </cfRule>
  </conditionalFormatting>
  <conditionalFormatting sqref="B15">
    <cfRule type="containsText" dxfId="47" priority="97" operator="containsText" text="FALSO">
      <formula>NOT(ISERROR(SEARCH("FALSO",B15)))</formula>
    </cfRule>
  </conditionalFormatting>
  <conditionalFormatting sqref="B15">
    <cfRule type="containsErrors" dxfId="46" priority="98">
      <formula>ISERROR(B15)</formula>
    </cfRule>
  </conditionalFormatting>
  <conditionalFormatting sqref="H25:H26">
    <cfRule type="containsErrors" dxfId="45" priority="96">
      <formula>ISERROR(H25)</formula>
    </cfRule>
  </conditionalFormatting>
  <conditionalFormatting sqref="B17">
    <cfRule type="containsText" dxfId="44" priority="71" operator="containsText" text="FALSO">
      <formula>NOT(ISERROR(SEARCH("FALSO",B17)))</formula>
    </cfRule>
  </conditionalFormatting>
  <conditionalFormatting sqref="B17">
    <cfRule type="containsErrors" dxfId="43" priority="72">
      <formula>ISERROR(B17)</formula>
    </cfRule>
  </conditionalFormatting>
  <conditionalFormatting sqref="C21:C25">
    <cfRule type="containsText" dxfId="42" priority="59" operator="containsText" text="FALSO">
      <formula>NOT(ISERROR(SEARCH("FALSO",C21)))</formula>
    </cfRule>
    <cfRule type="containsErrors" dxfId="41" priority="60">
      <formula>ISERROR(C21)</formula>
    </cfRule>
  </conditionalFormatting>
  <conditionalFormatting sqref="C18">
    <cfRule type="containsErrors" dxfId="40" priority="44">
      <formula>ISERROR(C18)</formula>
    </cfRule>
  </conditionalFormatting>
  <conditionalFormatting sqref="B18">
    <cfRule type="containsText" dxfId="39" priority="45" operator="containsText" text="FALSO">
      <formula>NOT(ISERROR(SEARCH("FALSO",B18)))</formula>
    </cfRule>
  </conditionalFormatting>
  <conditionalFormatting sqref="B18">
    <cfRule type="containsErrors" dxfId="38" priority="46">
      <formula>ISERROR(B18)</formula>
    </cfRule>
  </conditionalFormatting>
  <conditionalFormatting sqref="H20:H27">
    <cfRule type="containsText" dxfId="37" priority="37" operator="containsText" text="COMERCIALIZADORA">
      <formula>NOT(ISERROR(SEARCH("COMERCIALIZADORA",H20)))</formula>
    </cfRule>
    <cfRule type="containsText" dxfId="36" priority="38" operator="containsText" text="FACTURA">
      <formula>NOT(ISERROR(SEARCH("FACTURA",H20)))</formula>
    </cfRule>
  </conditionalFormatting>
  <conditionalFormatting sqref="B9">
    <cfRule type="containsText" dxfId="35" priority="35" operator="containsText" text="FALSO">
      <formula>NOT(ISERROR(SEARCH("FALSO",B9)))</formula>
    </cfRule>
  </conditionalFormatting>
  <conditionalFormatting sqref="E9:H9">
    <cfRule type="containsErrors" dxfId="34" priority="36">
      <formula>ISERROR(E9)</formula>
    </cfRule>
  </conditionalFormatting>
  <conditionalFormatting sqref="D9">
    <cfRule type="containsErrors" dxfId="33" priority="34">
      <formula>ISERROR(D9)</formula>
    </cfRule>
  </conditionalFormatting>
  <conditionalFormatting sqref="B19">
    <cfRule type="containsErrors" dxfId="32" priority="10">
      <formula>ISERROR(B19)</formula>
    </cfRule>
  </conditionalFormatting>
  <conditionalFormatting sqref="C19">
    <cfRule type="containsText" dxfId="31" priority="11" operator="containsText" text="FALSO">
      <formula>NOT(ISERROR(SEARCH("FALSO",C19)))</formula>
    </cfRule>
    <cfRule type="containsErrors" dxfId="30" priority="12">
      <formula>ISERROR(C19)</formula>
    </cfRule>
  </conditionalFormatting>
  <conditionalFormatting sqref="D19">
    <cfRule type="containsText" dxfId="29" priority="13" operator="containsText" text="FALSO">
      <formula>NOT(ISERROR(SEARCH("FALSO",D19)))</formula>
    </cfRule>
    <cfRule type="containsErrors" dxfId="28" priority="14">
      <formula>ISERROR(D19)</formula>
    </cfRule>
  </conditionalFormatting>
  <conditionalFormatting sqref="J19">
    <cfRule type="containsErrors" dxfId="27" priority="9">
      <formula>ISERROR(J19)</formula>
    </cfRule>
  </conditionalFormatting>
  <conditionalFormatting sqref="B19">
    <cfRule type="containsText" dxfId="26" priority="15" operator="containsText" text="FALSO">
      <formula>NOT(ISERROR(SEARCH("FALSO",B19)))</formula>
    </cfRule>
  </conditionalFormatting>
  <conditionalFormatting sqref="E19:G19">
    <cfRule type="containsErrors" dxfId="25" priority="16">
      <formula>ISERROR(E19)</formula>
    </cfRule>
  </conditionalFormatting>
  <conditionalFormatting sqref="I19">
    <cfRule type="containsErrors" dxfId="24" priority="7">
      <formula>ISERROR(I19)</formula>
    </cfRule>
  </conditionalFormatting>
  <conditionalFormatting sqref="H19">
    <cfRule type="containsErrors" dxfId="23" priority="8">
      <formula>ISERROR(H19)</formula>
    </cfRule>
  </conditionalFormatting>
  <conditionalFormatting sqref="M4:N130">
    <cfRule type="containsErrors" dxfId="22" priority="6">
      <formula>ISERROR(M4)</formula>
    </cfRule>
  </conditionalFormatting>
  <conditionalFormatting sqref="M3:N3">
    <cfRule type="containsErrors" dxfId="21" priority="5">
      <formula>ISERROR(M3)</formula>
    </cfRule>
  </conditionalFormatting>
  <conditionalFormatting sqref="P27:P30 P32:P38">
    <cfRule type="containsErrors" dxfId="20" priority="4">
      <formula>ISERROR(P27)</formula>
    </cfRule>
  </conditionalFormatting>
  <conditionalFormatting sqref="C9">
    <cfRule type="containsErrors" dxfId="19" priority="3">
      <formula>ISERROR(C9)</formula>
    </cfRule>
  </conditionalFormatting>
  <conditionalFormatting sqref="B22:B23">
    <cfRule type="containsText" dxfId="18" priority="1" operator="containsText" text="FALSO">
      <formula>NOT(ISERROR(SEARCH("FALSO",B22)))</formula>
    </cfRule>
    <cfRule type="containsErrors" dxfId="17" priority="2">
      <formula>ISERROR(B22)</formula>
    </cfRule>
  </conditionalFormatting>
  <dataValidations disablePrompts="1" count="16">
    <dataValidation allowBlank="1" showInputMessage="1" showErrorMessage="1" promptTitle="NOMBRE DE CLIENTE" prompt="Llenar únicamente con letra mayúscula" sqref="C8" xr:uid="{DDED52C7-7101-42F1-B396-D3CA658496F0}"/>
    <dataValidation allowBlank="1" showInputMessage="1" showErrorMessage="1" promptTitle="IMPORTE" prompt="Total a pagar, tal como el contrato/simulador" sqref="C10" xr:uid="{22506588-1EA4-460A-9832-577DB427C67F}"/>
    <dataValidation allowBlank="1" showInputMessage="1" showErrorMessage="1" promptTitle="ENGANCHE" prompt="Total a pagar de enganche" sqref="C11" xr:uid="{2590C40D-B83B-4546-B8E5-BA1CCF89BE0E}"/>
    <dataValidation allowBlank="1" showInputMessage="1" showErrorMessage="1" promptTitle="DEPOSITO" prompt="Total pagado por el cliente (voucher reflejado)" sqref="C12" xr:uid="{C0401B44-102B-4236-926F-DFD5CC234D96}"/>
    <dataValidation allowBlank="1" showInputMessage="1" showErrorMessage="1" promptTitle="FECHAS" prompt="Registrar $ Monto | Fecha pago (01-ene-22)" sqref="C14" xr:uid="{E10DE20B-E686-49CF-85EF-A8461D8226D7}"/>
    <dataValidation allowBlank="1" showInputMessage="1" showErrorMessage="1" promptTitle="CONTRATO" prompt="Revisar si es fecha de contrato digital o físico" sqref="C15" xr:uid="{94BFCDD9-93D6-4B6B-8799-8A6F7F94D85A}"/>
    <dataValidation allowBlank="1" showInputMessage="1" showErrorMessage="1" promptTitle="PROMOCION" prompt="Registrar promoción vigente" sqref="C17" xr:uid="{899F3ABB-50AB-472D-BBAA-FC233A258466}"/>
    <dataValidation type="list" allowBlank="1" showInputMessage="1" showErrorMessage="1" sqref="C21" xr:uid="{FB4C8800-2E1A-40FD-BC9C-5F3FDEF9CAD1}">
      <formula1>$P$25:$P$26</formula1>
    </dataValidation>
    <dataValidation type="list" allowBlank="1" showInputMessage="1" showErrorMessage="1" sqref="C18" xr:uid="{71BF672D-5648-48E5-BC4C-C411970C994D}">
      <formula1>$P$33:$P$34</formula1>
    </dataValidation>
    <dataValidation type="list" allowBlank="1" showInputMessage="1" showErrorMessage="1" sqref="C27" xr:uid="{CBBD0B84-4178-458F-A30D-684371FB8EDC}">
      <formula1>$P$24:$P$26</formula1>
    </dataValidation>
    <dataValidation allowBlank="1" showInputMessage="1" showErrorMessage="1" promptTitle="REFERENCIA" prompt="# LOTE | CLUSTER # | CONDOMINIO_x000a_ej: 10AMATISTA 1" sqref="C9" xr:uid="{CFFAA5D6-7EE9-4233-81C9-B88D925562CC}"/>
    <dataValidation type="list" allowBlank="1" showInputMessage="1" showErrorMessage="1" prompt="Elegir el método de pago correctamente" sqref="H21 H24:H27" xr:uid="{58EC5FFB-9B3A-48EC-94A7-44A05777C4BD}">
      <formula1>$P$37:$P$40</formula1>
    </dataValidation>
    <dataValidation type="list" allowBlank="1" showInputMessage="1" showErrorMessage="1" sqref="C7" xr:uid="{87D2898E-A680-43F7-BAFF-48EE2A99F9C3}">
      <formula1>$P$6:$P$15</formula1>
    </dataValidation>
    <dataValidation type="list" allowBlank="1" showInputMessage="1" showErrorMessage="1" sqref="C20" xr:uid="{1F5595A5-D9A1-49D2-8E6B-39CE282BC13E}">
      <formula1>$P$22:$P$23</formula1>
    </dataValidation>
    <dataValidation type="list" allowBlank="1" showInputMessage="1" showErrorMessage="1" prompt="Elegir el método de pago correctamente" sqref="H20" xr:uid="{30B0489D-7659-455B-9789-B1997B64364E}">
      <formula1>$P$37:$P$39</formula1>
    </dataValidation>
    <dataValidation allowBlank="1" showInputMessage="1" showErrorMessage="1" prompt="Elegir el método de pago correctamente" sqref="H22:H23" xr:uid="{050DAD92-27EB-42F2-A090-DDE7C240F008}"/>
  </dataValidations>
  <printOptions horizontalCentered="1"/>
  <pageMargins left="0.70866141732283505" right="0.70866141732283505" top="1.5354330708661399" bottom="0.94488188976377996" header="0.31496062992126" footer="0.31496062992126"/>
  <pageSetup scale="38" fitToHeight="0" orientation="portrait" r:id="rId1"/>
  <headerFooter scaleWithDoc="0">
    <oddHeader>&amp;C&amp;G</oddHeader>
    <oddFooter>&amp;C&amp;G</oddFooter>
  </headerFooter>
  <drawing r:id="rId2"/>
  <legacyDrawingHF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311E6C-5243-4508-9301-F9D4314C34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REFERENCIA</vt:lpstr>
      <vt:lpstr>REFERENCIA!Área_de_impresión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Marisol</dc:creator>
  <cp:lastModifiedBy>524461502318</cp:lastModifiedBy>
  <cp:lastPrinted>2021-05-13T19:12:42Z</cp:lastPrinted>
  <dcterms:created xsi:type="dcterms:W3CDTF">2020-06-30T16:52:56Z</dcterms:created>
  <dcterms:modified xsi:type="dcterms:W3CDTF">2022-12-07T18:10:22Z</dcterms:modified>
</cp:coreProperties>
</file>